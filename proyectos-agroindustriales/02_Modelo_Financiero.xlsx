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Supuestos" sheetId="2" state="visible" r:id="rId4"/>
    <sheet name="Inversiones" sheetId="3" state="visible" r:id="rId5"/>
    <sheet name="Depreciacion" sheetId="4" state="visible" r:id="rId6"/>
    <sheet name="Financiamiento" sheetId="5" state="visible" r:id="rId7"/>
    <sheet name="Operacion" sheetId="6" state="visible" r:id="rId8"/>
    <sheet name="EERR" sheetId="7" state="visible" r:id="rId9"/>
    <sheet name="FlujoCaja" sheetId="8" state="visible" r:id="rId10"/>
    <sheet name="Evaluacion" sheetId="9" state="visible" r:id="rId11"/>
    <sheet name="Sensibilidad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<sst xmlns="http://schemas.openxmlformats.org/spreadsheetml/2006/main" count="458" uniqueCount="327">
  <si>
    <t xml:space="preserve">MODELO FINANCIERO — PROYECTO DE INVERSIÓN AGROINDUSTRIAL</t>
  </si>
  <si>
    <t xml:space="preserve">Curso: Formulación y Evaluación de Proyectos — horizonte de 10 años, moneda: soles (S/)</t>
  </si>
  <si>
    <t xml:space="preserve">CÓDIGO DE COLORES</t>
  </si>
  <si>
    <t xml:space="preserve">Azul sobre amarillo  →  celda que TÚ debes llenar (dato de entrada)</t>
  </si>
  <si>
    <t xml:space="preserve">Negro  →  fórmula calculada. No la toques.</t>
  </si>
  <si>
    <t xml:space="preserve">Verde  →  enlace a otra hoja del mismo archivo. No la toques.</t>
  </si>
  <si>
    <t xml:space="preserve">CÓMO USARLO</t>
  </si>
  <si>
    <t xml:space="preserve">1. El archivo ya viene con un EJEMPLO COMPLETO cargado (planta de pulpa de mango congelada en Ica).</t>
  </si>
  <si>
    <t xml:space="preserve">   Sirve para que veas cómo se conecta todo. Reemplaza los números por los tuyos y el modelo se recalcula solo.</t>
  </si>
  <si>
    <t xml:space="preserve">2. Empieza por la hoja "Supuestos". Ahí está el 90 % de lo que debes cambiar.</t>
  </si>
  <si>
    <t xml:space="preserve">3. Sigue con "Inversiones": pon tus cotizaciones reales de maquinaria, obra civil y equipos.</t>
  </si>
  <si>
    <t xml:space="preserve">4. Todo lo demás (depreciación, deuda, estados, flujos, VAN y TIR) se calcula automáticamente.</t>
  </si>
  <si>
    <t xml:space="preserve">5. Revisa la hoja "Evaluacion": ahí están tus resultados finales para copiar al informe en Word.</t>
  </si>
  <si>
    <t xml:space="preserve">6. La hoja "Sensibilidad" te dice qué variable pone en riesgo el proyecto. Es la que más preguntan en la sustentación.</t>
  </si>
  <si>
    <t xml:space="preserve">ORDEN DE LAS HOJAS</t>
  </si>
  <si>
    <t xml:space="preserve">Supuestos</t>
  </si>
  <si>
    <t xml:space="preserve">Todos los datos de entrada: precios, costos unitarios, personal, tasas.</t>
  </si>
  <si>
    <t xml:space="preserve">Inversiones</t>
  </si>
  <si>
    <t xml:space="preserve">Inversión tangible, intangible y capital de trabajo. Estructura de financiamiento.</t>
  </si>
  <si>
    <t xml:space="preserve">Depreciacion</t>
  </si>
  <si>
    <t xml:space="preserve">Depreciación por activo y valor residual al año 10.</t>
  </si>
  <si>
    <t xml:space="preserve">Financiamiento</t>
  </si>
  <si>
    <t xml:space="preserve">Cuadro de amortización del préstamo (método de cuota constante).</t>
  </si>
  <si>
    <t xml:space="preserve">Operacion</t>
  </si>
  <si>
    <t xml:space="preserve">Producción, ingresos y costos año por año. Separa costos fijos de variables.</t>
  </si>
  <si>
    <t xml:space="preserve">EERR</t>
  </si>
  <si>
    <t xml:space="preserve">Estado de resultados proyectado.</t>
  </si>
  <si>
    <t xml:space="preserve">FlujoCaja</t>
  </si>
  <si>
    <t xml:space="preserve">Flujo de caja económico y flujo de caja financiero.</t>
  </si>
  <si>
    <t xml:space="preserve">Evaluacion</t>
  </si>
  <si>
    <t xml:space="preserve">VAN, TIR, B/C, periodo de recuperación, WACC y punto de equilibrio.</t>
  </si>
  <si>
    <t xml:space="preserve">Sensibilidad</t>
  </si>
  <si>
    <t xml:space="preserve">Sensibilidad al precio, al costo de materia prima y al volumen. Escenarios.</t>
  </si>
  <si>
    <t xml:space="preserve">ADVERTENCIA IMPORTANTE</t>
  </si>
  <si>
    <t xml:space="preserve">El ejemplo cargado usa cifras referenciales y NO son datos oficiales de ningún mercado.</t>
  </si>
  <si>
    <t xml:space="preserve">Antes de entregar, reemplaza cada dato por uno con fuente citable (INEI, MIDAGRI, SUNAT, SBS, cotizaciones reales).</t>
  </si>
  <si>
    <t xml:space="preserve">En el informe cada tabla debe llevar su fuente al pie. Un número sin fuente es la pregunta más fácil del jurado.</t>
  </si>
  <si>
    <t xml:space="preserve">SUPUESTOS DEL PROYECTO</t>
  </si>
  <si>
    <t xml:space="preserve">Cambia solo las celdas amarillas. Todo lo demás del archivo se recalcula solo.</t>
  </si>
  <si>
    <t xml:space="preserve">A. PARÁMETROS GENERALES</t>
  </si>
  <si>
    <t xml:space="preserve">Horizonte de evaluación</t>
  </si>
  <si>
    <t xml:space="preserve">años</t>
  </si>
  <si>
    <t xml:space="preserve">Año base</t>
  </si>
  <si>
    <t xml:space="preserve">Tipo de cambio</t>
  </si>
  <si>
    <t xml:space="preserve">S/ por US$</t>
  </si>
  <si>
    <t xml:space="preserve">B. MERCADO Y PRODUCCIÓN</t>
  </si>
  <si>
    <t xml:space="preserve">Capacidad instalada de planta</t>
  </si>
  <si>
    <t xml:space="preserve">t/año</t>
  </si>
  <si>
    <t xml:space="preserve">Sale del Capítulo III (tamaño del proyecto)</t>
  </si>
  <si>
    <t xml:space="preserve">Precio de venta del producto</t>
  </si>
  <si>
    <t xml:space="preserve">S/ por kg</t>
  </si>
  <si>
    <t xml:space="preserve">Sale del Capítulo II (análisis de precios)</t>
  </si>
  <si>
    <t xml:space="preserve">Variación real del precio por año</t>
  </si>
  <si>
    <t xml:space="preserve">Déjalo en 0 % si trabajas a precios constantes</t>
  </si>
  <si>
    <t xml:space="preserve">Rendimiento del proceso</t>
  </si>
  <si>
    <t xml:space="preserve">kg PT / kg MP</t>
  </si>
  <si>
    <t xml:space="preserve">Sale del balance de materia</t>
  </si>
  <si>
    <t xml:space="preserve">C. COSTOS VARIABLES UNITARIOS</t>
  </si>
  <si>
    <t xml:space="preserve">Materia prima</t>
  </si>
  <si>
    <t xml:space="preserve">S/ por kg de MP</t>
  </si>
  <si>
    <t xml:space="preserve">Insumos y aditivos</t>
  </si>
  <si>
    <t xml:space="preserve">S/ por kg de PT</t>
  </si>
  <si>
    <t xml:space="preserve">Envases y embalaje</t>
  </si>
  <si>
    <t xml:space="preserve">Energía eléctrica y agua</t>
  </si>
  <si>
    <t xml:space="preserve">Distribución y transporte</t>
  </si>
  <si>
    <t xml:space="preserve">D. PERSONAL</t>
  </si>
  <si>
    <t xml:space="preserve">Factor de carga laboral (gratificaciones, CTS, EsSalud)</t>
  </si>
  <si>
    <t xml:space="preserve">x sueldo</t>
  </si>
  <si>
    <t xml:space="preserve">Puesto</t>
  </si>
  <si>
    <t xml:space="preserve">Área</t>
  </si>
  <si>
    <t xml:space="preserve">N° de plazas</t>
  </si>
  <si>
    <t xml:space="preserve">Sueldo mensual (S/)</t>
  </si>
  <si>
    <t xml:space="preserve">Costo anual (S/)</t>
  </si>
  <si>
    <t xml:space="preserve">Jefe de planta</t>
  </si>
  <si>
    <t xml:space="preserve">Producción</t>
  </si>
  <si>
    <t xml:space="preserve">Supervisor de calidad</t>
  </si>
  <si>
    <t xml:space="preserve">Operarios de proceso</t>
  </si>
  <si>
    <t xml:space="preserve">Almacenero</t>
  </si>
  <si>
    <t xml:space="preserve">Gerente / administrador</t>
  </si>
  <si>
    <t xml:space="preserve">Administración</t>
  </si>
  <si>
    <t xml:space="preserve">Asistente administrativo</t>
  </si>
  <si>
    <t xml:space="preserve">Jefe de ventas</t>
  </si>
  <si>
    <t xml:space="preserve">Ventas</t>
  </si>
  <si>
    <t xml:space="preserve">Vendedor</t>
  </si>
  <si>
    <t xml:space="preserve">TOTAL PLANILLA ANUAL</t>
  </si>
  <si>
    <t xml:space="preserve">E. GASTOS FIJOS ANUALES</t>
  </si>
  <si>
    <t xml:space="preserve">Mantenimiento (% del valor de maquinaria y equipos)</t>
  </si>
  <si>
    <t xml:space="preserve">Alquiler de oficina y otros locales</t>
  </si>
  <si>
    <t xml:space="preserve">S/ al año</t>
  </si>
  <si>
    <t xml:space="preserve">Servicios de oficina, telefonía e internet</t>
  </si>
  <si>
    <t xml:space="preserve">Seguros</t>
  </si>
  <si>
    <t xml:space="preserve">Publicidad y promoción</t>
  </si>
  <si>
    <t xml:space="preserve">Gestión ambiental y manejo de residuos</t>
  </si>
  <si>
    <t xml:space="preserve">Otros gastos administrativos</t>
  </si>
  <si>
    <t xml:space="preserve">F. TRIBUTOS Y TASAS</t>
  </si>
  <si>
    <t xml:space="preserve">Impuesto a la renta</t>
  </si>
  <si>
    <t xml:space="preserve">Régimen general: 29.5 %</t>
  </si>
  <si>
    <t xml:space="preserve">Costo de oportunidad del capital (COK)</t>
  </si>
  <si>
    <t xml:space="preserve">Justifícalo con CAPM o con la exigencia del inversionista</t>
  </si>
  <si>
    <t xml:space="preserve">G. FINANCIAMIENTO</t>
  </si>
  <si>
    <t xml:space="preserve">Porcentaje financiado con deuda</t>
  </si>
  <si>
    <t xml:space="preserve">Tasa efectiva anual del préstamo (TEA)</t>
  </si>
  <si>
    <t xml:space="preserve">Fuente: SBS</t>
  </si>
  <si>
    <t xml:space="preserve">Plazo del préstamo</t>
  </si>
  <si>
    <t xml:space="preserve">Meses de cobertura del capital de trabajo</t>
  </si>
  <si>
    <t xml:space="preserve">meses</t>
  </si>
  <si>
    <t xml:space="preserve">H. UTILIZACIÓN DE LA CAPACIDAD INSTALADA</t>
  </si>
  <si>
    <t xml:space="preserve">Porcentaje de la capacidad que se usa cada año</t>
  </si>
  <si>
    <t xml:space="preserve">Concepto</t>
  </si>
  <si>
    <t xml:space="preserve">Unidad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</si>
  <si>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</si>
  <si>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</si>
  <si>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</si>
  <si>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</si>
  <si>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</si>
  <si>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Año 6</t>
  </si>
  <si>
    <t xml:space="preserve">Año 7</t>
  </si>
  <si>
    <t xml:space="preserve">Año 8</t>
  </si>
  <si>
    <t xml:space="preserve">Año 9</t>
  </si>
  <si>
    <t xml:space="preserve">Año 10</t>
  </si>
  <si>
    <t xml:space="preserve">% de utilización</t>
  </si>
  <si>
    <t xml:space="preserve">INVERSIONES Y ESTRUCTURA DE FINANCIAMIENTO</t>
  </si>
  <si>
    <t xml:space="preserve">Reemplaza cantidades y costos unitarios por tus cotizaciones reales. Adjunta las cotizaciones como anexo.</t>
  </si>
  <si>
    <t xml:space="preserve">Cantidad</t>
  </si>
  <si>
    <t xml:space="preserve">Costo unitario (S/)</t>
  </si>
  <si>
    <t xml:space="preserve">Total (S/)</t>
  </si>
  <si>
    <t xml:space="preserve">Vida útil (años)</t>
  </si>
  <si>
    <t xml:space="preserve">Tasa dep.</t>
  </si>
  <si>
    <t xml:space="preserve">Nota</t>
  </si>
  <si>
    <t xml:space="preserve">A. INVERSIÓN FIJA TANGIBLE</t>
  </si>
  <si>
    <t xml:space="preserve">Terreno</t>
  </si>
  <si>
    <t xml:space="preserve">No se deprecia. m² × S//m²</t>
  </si>
  <si>
    <t xml:space="preserve">Obras civiles y edificaciones</t>
  </si>
  <si>
    <t xml:space="preserve">Tasa SUNAT 5 %</t>
  </si>
  <si>
    <t xml:space="preserve">Maquinaria y equipo de proceso</t>
  </si>
  <si>
    <t xml:space="preserve">Tasa SUNAT 10 %</t>
  </si>
  <si>
    <t xml:space="preserve">Cámara de frío y sistema de refrigeración</t>
  </si>
  <si>
    <t xml:space="preserve">Equipos de laboratorio y control de calidad</t>
  </si>
  <si>
    <t xml:space="preserve">Muebles y enseres</t>
  </si>
  <si>
    <t xml:space="preserve">Equipos de cómputo</t>
  </si>
  <si>
    <t xml:space="preserve">Tasa SUNAT 25 %</t>
  </si>
  <si>
    <t xml:space="preserve">Vehículo de distribución</t>
  </si>
  <si>
    <t xml:space="preserve">Tasa SUNAT 20 %</t>
  </si>
  <si>
    <t xml:space="preserve">SUBTOTAL INVERSIÓN FIJA TANGIBLE</t>
  </si>
  <si>
    <t xml:space="preserve">B. INVERSIÓN FIJA INTANGIBLE</t>
  </si>
  <si>
    <t xml:space="preserve">Estudios de preinversión y proyecto</t>
  </si>
  <si>
    <t xml:space="preserve">Constitución de la empresa (SUNARP, notaría)</t>
  </si>
  <si>
    <t xml:space="preserve">Licencia municipal de funcionamiento</t>
  </si>
  <si>
    <t xml:space="preserve">Registro sanitario y habilitación DIGESA</t>
  </si>
  <si>
    <t xml:space="preserve">Implementación de BPM, POES y plan HACCP</t>
  </si>
  <si>
    <t xml:space="preserve">Software y sistemas de gestión</t>
  </si>
  <si>
    <t xml:space="preserve">Capacitación del personal y puesta en marcha</t>
  </si>
  <si>
    <t xml:space="preserve">Imprevistos (5 %)</t>
  </si>
  <si>
    <t xml:space="preserve">SUBTOTAL INVERSIÓN FIJA INTANGIBLE</t>
  </si>
  <si>
    <t xml:space="preserve">Se amortiza en 5 años (20 % anual)</t>
  </si>
  <si>
    <t xml:space="preserve">C. CAPITAL DE TRABAJO</t>
  </si>
  <si>
    <t xml:space="preserve">Costos operativos desembolsables del año 1</t>
  </si>
  <si>
    <t xml:space="preserve">Meses de cobertura</t>
  </si>
  <si>
    <t xml:space="preserve">CAPITAL DE TRABAJO REQUERIDO</t>
  </si>
  <si>
    <t xml:space="preserve">Método: meses de cobertura de costos operativos</t>
  </si>
  <si>
    <t xml:space="preserve">D. INVERSIÓN TOTAL</t>
  </si>
  <si>
    <t xml:space="preserve">INVERSIÓN TOTAL DEL PROYECTO</t>
  </si>
  <si>
    <t xml:space="preserve">E. ESTRUCTURA DE FINANCIAMIENTO</t>
  </si>
  <si>
    <t xml:space="preserve">Aporte propio (capital social)</t>
  </si>
  <si>
    <t xml:space="preserve">Préstamo bancario</t>
  </si>
  <si>
    <t xml:space="preserve">TOTAL</t>
  </si>
  <si>
    <t xml:space="preserve">DEPRECIACIÓN Y AMORTIZACIÓN</t>
  </si>
  <si>
    <t xml:space="preserve">Método lineal, tasas SUNAT. El valor en libros al año 10 es el valor residual del proyecto.</t>
  </si>
  <si>
    <t xml:space="preserve">Activo</t>
  </si>
  <si>
    <t xml:space="preserve">Amortización de intangibles</t>
  </si>
  <si>
    <t xml:space="preserve">TOTAL DEPRECIACIÓN Y AMORTIZACIÓN</t>
  </si>
  <si>
    <t xml:space="preserve">VALOR RESIDUAL AL FINAL DEL HORIZONTE</t>
  </si>
  <si>
    <t xml:space="preserve">Valor en libros al año 10</t>
  </si>
  <si>
    <t xml:space="preserve">VALOR RESIDUAL DE ACTIVOS FIJOS</t>
  </si>
  <si>
    <t xml:space="preserve">SERVICIO DE LA DEUDA</t>
  </si>
  <si>
    <t xml:space="preserve">Préstamo con cuota constante (sistema francés). El interés es deducible de impuestos.</t>
  </si>
  <si>
    <t xml:space="preserve">Monto del préstamo (S/)</t>
  </si>
  <si>
    <t xml:space="preserve">Tasa efectiva anual (TEA)</t>
  </si>
  <si>
    <t xml:space="preserve">Plazo (años)</t>
  </si>
  <si>
    <t xml:space="preserve">Cuota anual constante (S/)</t>
  </si>
  <si>
    <t xml:space="preserve">Año</t>
  </si>
  <si>
    <t xml:space="preserve">Saldo inicial</t>
  </si>
  <si>
    <t xml:space="preserve">Interés</t>
  </si>
  <si>
    <t xml:space="preserve">Amortización</t>
  </si>
  <si>
    <t xml:space="preserve">Cuota</t>
  </si>
  <si>
    <t xml:space="preserve">Saldo final</t>
  </si>
  <si>
    <t xml:space="preserve">PRODUCCIÓN, INGRESOS Y COSTOS OPERATIVOS</t>
  </si>
  <si>
    <t xml:space="preserve">Todo se calcula a partir de la hoja Supuestos. Los costos están separados en variables y fijos para el punto de equilibrio.</t>
  </si>
  <si>
    <t xml:space="preserve">A. PROGRAMA DE PRODUCCIÓN</t>
  </si>
  <si>
    <t xml:space="preserve">Producción (t/año)</t>
  </si>
  <si>
    <t xml:space="preserve">t</t>
  </si>
  <si>
    <t xml:space="preserve">Producción (kg/año)</t>
  </si>
  <si>
    <t xml:space="preserve">kg</t>
  </si>
  <si>
    <t xml:space="preserve">Materia prima requerida (kg)</t>
  </si>
  <si>
    <t xml:space="preserve">Precio de venta (S/ por kg)</t>
  </si>
  <si>
    <t xml:space="preserve">S/</t>
  </si>
  <si>
    <t xml:space="preserve">B. INGRESOS</t>
  </si>
  <si>
    <t xml:space="preserve">INGRESOS POR VENTAS (S/)</t>
  </si>
  <si>
    <t xml:space="preserve">C. COSTOS VARIABLES</t>
  </si>
  <si>
    <t xml:space="preserve">TOTAL COSTOS VARIABLES</t>
  </si>
  <si>
    <t xml:space="preserve">D. COSTOS FIJOS</t>
  </si>
  <si>
    <t xml:space="preserve">Mano de obra de producción</t>
  </si>
  <si>
    <t xml:space="preserve">Mantenimiento de maquinaria</t>
  </si>
  <si>
    <t xml:space="preserve">Planilla administrativa</t>
  </si>
  <si>
    <t xml:space="preserve">Alquileres</t>
  </si>
  <si>
    <t xml:space="preserve">Servicios de oficina</t>
  </si>
  <si>
    <t xml:space="preserve">Planilla de ventas</t>
  </si>
  <si>
    <t xml:space="preserve">TOTAL COSTOS FIJOS</t>
  </si>
  <si>
    <t xml:space="preserve">E. RESÚMENES</t>
  </si>
  <si>
    <t xml:space="preserve">Costo de producción (variables + fijos de planta)</t>
  </si>
  <si>
    <t xml:space="preserve">Gastos administrativos</t>
  </si>
  <si>
    <t xml:space="preserve">Gastos de ventas</t>
  </si>
  <si>
    <t xml:space="preserve">TOTAL COSTOS OPERATIVOS DESEMBOLSABLES (sin depreciación)</t>
  </si>
  <si>
    <t xml:space="preserve">Costo variable unitario (S/ por kg)</t>
  </si>
  <si>
    <t xml:space="preserve">ESTADO DE RESULTADOS PROYECTADO</t>
  </si>
  <si>
    <t xml:space="preserve">Expresado en soles corrientes. Incluye el efecto de la deuda.</t>
  </si>
  <si>
    <t xml:space="preserve">Ventas netas</t>
  </si>
  <si>
    <t xml:space="preserve">(-) Costo de producción</t>
  </si>
  <si>
    <t xml:space="preserve">UTILIDAD BRUTA</t>
  </si>
  <si>
    <t xml:space="preserve">(-) Gastos administrativos</t>
  </si>
  <si>
    <t xml:space="preserve">(-) Gastos de ventas</t>
  </si>
  <si>
    <t xml:space="preserve">(-) Depreciación y amortización</t>
  </si>
  <si>
    <t xml:space="preserve">UTILIDAD OPERATIVA (EBIT)</t>
  </si>
  <si>
    <t xml:space="preserve">(-) Gastos financieros (intereses)</t>
  </si>
  <si>
    <t xml:space="preserve">UTILIDAD ANTES DE IMPUESTOS</t>
  </si>
  <si>
    <t xml:space="preserve">(-) Impuesto a la renta</t>
  </si>
  <si>
    <t xml:space="preserve">UTILIDAD NETA</t>
  </si>
  <si>
    <t xml:space="preserve">Margen neto sobre ventas</t>
  </si>
  <si>
    <t xml:space="preserve">FLUJO DE CAJA ECONÓMICO Y FINANCIERO</t>
  </si>
  <si>
    <t xml:space="preserve">El flujo económico evalúa el negocio en sí. El flujo financiero evalúa lo que gana el accionista con deuda.</t>
  </si>
  <si>
    <t xml:space="preserve">Año 0</t>
  </si>
  <si>
    <t xml:space="preserve">A. FLUJO DE CAJA ECONÓMICO (sin financiamiento)</t>
  </si>
  <si>
    <t xml:space="preserve">Ingresos por ventas</t>
  </si>
  <si>
    <t xml:space="preserve">Valor residual de activos fijos</t>
  </si>
  <si>
    <t xml:space="preserve">Recuperación del capital de trabajo</t>
  </si>
  <si>
    <t xml:space="preserve">(-) Costos operativos desembolsables</t>
  </si>
  <si>
    <t xml:space="preserve">Utilidad antes de impuestos (económica)</t>
  </si>
  <si>
    <t xml:space="preserve">Utilidad neta económica</t>
  </si>
  <si>
    <t xml:space="preserve">(+) Depreciación y amortización</t>
  </si>
  <si>
    <t xml:space="preserve">(-) Inversión total</t>
  </si>
  <si>
    <t xml:space="preserve">FLUJO DE CAJA ECONÓMICO</t>
  </si>
  <si>
    <t xml:space="preserve">B. FLUJO DE CAJA FINANCIERO (con financiamiento)</t>
  </si>
  <si>
    <t xml:space="preserve">Flujo de caja económico</t>
  </si>
  <si>
    <t xml:space="preserve">(+) Préstamo recibido</t>
  </si>
  <si>
    <t xml:space="preserve">(-) Amortización del principal</t>
  </si>
  <si>
    <t xml:space="preserve">(-) Intereses</t>
  </si>
  <si>
    <t xml:space="preserve">(+) Escudo fiscal de los intereses</t>
  </si>
  <si>
    <t xml:space="preserve">FLUJO DE CAJA FINANCIERO</t>
  </si>
  <si>
    <t xml:space="preserve">EVALUACIÓN ECONÓMICA Y FINANCIERA</t>
  </si>
  <si>
    <t xml:space="preserve">Estos son los resultados que van al Capítulo VIII del informe.</t>
  </si>
  <si>
    <t xml:space="preserve">A. TASAS DE DESCUENTO</t>
  </si>
  <si>
    <t xml:space="preserve">COK (costo de oportunidad del capital)</t>
  </si>
  <si>
    <t xml:space="preserve">Costo de la deuda después de impuestos</t>
  </si>
  <si>
    <t xml:space="preserve">WACC (costo promedio ponderado de capital)</t>
  </si>
  <si>
    <t xml:space="preserve">WACC = %deuda × Kd × (1−t) + %propio × COK</t>
  </si>
  <si>
    <t xml:space="preserve">TASAS USADAS PARA DESCONTAR (puedes cambiarlas)</t>
  </si>
  <si>
    <t xml:space="preserve">Tasa de descuento del flujo ECONÓMICO</t>
  </si>
  <si>
    <t xml:space="preserve">Por defecto: WACC</t>
  </si>
  <si>
    <t xml:space="preserve">Si tu docente pide descontar el flujo económico al COK, escribe aquí  =B5</t>
  </si>
  <si>
    <t xml:space="preserve">Tasa de descuento del flujo FINANCIERO</t>
  </si>
  <si>
    <t xml:space="preserve">Por defecto: COK</t>
  </si>
  <si>
    <t xml:space="preserve">Es la tasa que exige el accionista sobre su aporte propio</t>
  </si>
  <si>
    <t xml:space="preserve">Convención usada: el flujo económico se descuenta al WACC (evalúa el negocio completo) y el financiero al COK (evalúa lo que gana el accionista). Declara esta convención en tu informe.</t>
  </si>
  <si>
    <t xml:space="preserve">B. INDICADORES DE RENTABILIDAD</t>
  </si>
  <si>
    <t xml:space="preserve">Indicador</t>
  </si>
  <si>
    <t xml:space="preserve">Evaluación económica</t>
  </si>
  <si>
    <t xml:space="preserve">Evaluación financiera</t>
  </si>
  <si>
    <t xml:space="preserve">Criterio de decisión</t>
  </si>
  <si>
    <t xml:space="preserve">VAN — Valor Actual Neto (S/)</t>
  </si>
  <si>
    <t xml:space="preserve">Se acepta si VAN &gt; 0</t>
  </si>
  <si>
    <t xml:space="preserve">TIR — Tasa Interna de Retorno</t>
  </si>
  <si>
    <t xml:space="preserve">Se acepta si TIR &gt; tasa de descuento</t>
  </si>
  <si>
    <t xml:space="preserve">B/C — Relación beneficio/costo</t>
  </si>
  <si>
    <t xml:space="preserve">Se acepta si B/C &gt; 1</t>
  </si>
  <si>
    <t xml:space="preserve">PRI — Periodo de recuperación (años)</t>
  </si>
  <si>
    <t xml:space="preserve">Se acepta si el PRI es menor que el horizonte del proyecto</t>
  </si>
  <si>
    <t xml:space="preserve">Utilidad neta promedio anual (S/)</t>
  </si>
  <si>
    <t xml:space="preserve">C. PUNTO DE EQUILIBRIO</t>
  </si>
  <si>
    <t xml:space="preserve">Punto de equilibrio (kg/año)</t>
  </si>
  <si>
    <t xml:space="preserve">Punto de equilibrio (S/ al año)</t>
  </si>
  <si>
    <t xml:space="preserve">Punto de equilibrio como % de la producción</t>
  </si>
  <si>
    <t xml:space="preserve">Lectura: si el punto de equilibrio está muy por debajo del 100 %, el proyecto tiene holgura frente a caídas de venta.</t>
  </si>
  <si>
    <t xml:space="preserve">D. AUXILIAR — COEFICIENTES PARA EL ANÁLISIS DE SENSIBILIDAD</t>
  </si>
  <si>
    <t xml:space="preserve">No modificar. Se usan en la hoja Sensibilidad.</t>
  </si>
  <si>
    <t xml:space="preserve">Ingresos después de impuestos</t>
  </si>
  <si>
    <t xml:space="preserve">Costo de materia prima después de impuestos</t>
  </si>
  <si>
    <t xml:space="preserve">Margen de contribución después de impuestos</t>
  </si>
  <si>
    <t xml:space="preserve">Beneficios totales (ingresos + residual + capital de trabajo)</t>
  </si>
  <si>
    <t xml:space="preserve">Egresos totales (costos operativos + impuestos)</t>
  </si>
  <si>
    <t xml:space="preserve">Flujo económico acumulado</t>
  </si>
  <si>
    <t xml:space="preserve">VP de ingresos netos de impuesto (coef. precio)</t>
  </si>
  <si>
    <t xml:space="preserve">VP del costo de materia prima neto (coef. MP)</t>
  </si>
  <si>
    <t xml:space="preserve">VP del margen de contribución neto (coef. volumen)</t>
  </si>
  <si>
    <t xml:space="preserve">VP de beneficios totales</t>
  </si>
  <si>
    <t xml:space="preserve">VP de egresos totales + inversión</t>
  </si>
  <si>
    <t xml:space="preserve">ANÁLISIS DE SENSIBILIDAD Y ESCENARIOS</t>
  </si>
  <si>
    <t xml:space="preserve">Muestra qué variable pone en riesgo el proyecto. Es la sección que más se pregunta en la sustentación.</t>
  </si>
  <si>
    <t xml:space="preserve">VAN económico del escenario base (S/)</t>
  </si>
  <si>
    <t xml:space="preserve">A. SENSIBILIDAD A UNA VARIABLE</t>
  </si>
  <si>
    <t xml:space="preserve">Variación</t>
  </si>
  <si>
    <t xml:space="preserve">VAN si cambia el PRECIO</t>
  </si>
  <si>
    <t xml:space="preserve">VAN si cambia el COSTO DE MP</t>
  </si>
  <si>
    <t xml:space="preserve">VAN si cambia el VOLUMEN</t>
  </si>
  <si>
    <t xml:space="preserve">VARIACIÓN CRÍTICA (la que lleva el VAN a cero)</t>
  </si>
  <si>
    <t xml:space="preserve">Caída máxima tolerable del precio</t>
  </si>
  <si>
    <t xml:space="preserve">Alza máxima tolerable del costo de materia prima</t>
  </si>
  <si>
    <t xml:space="preserve">Caída máxima tolerable del volumen de ventas</t>
  </si>
  <si>
    <t xml:space="preserve">La variable con el porcentaje más pequeño es la variable crítica del proyecto.</t>
  </si>
  <si>
    <t xml:space="preserve">B. ANÁLISIS DE ESCENARIOS</t>
  </si>
  <si>
    <t xml:space="preserve">Escenario</t>
  </si>
  <si>
    <t xml:space="preserve">Δ Precio</t>
  </si>
  <si>
    <t xml:space="preserve">Δ Costo MP</t>
  </si>
  <si>
    <t xml:space="preserve">Δ Volumen</t>
  </si>
  <si>
    <t xml:space="preserve">VAN económico (S/)</t>
  </si>
  <si>
    <t xml:space="preserve">Decisión</t>
  </si>
  <si>
    <t xml:space="preserve">Pesimista</t>
  </si>
  <si>
    <t xml:space="preserve">Moderado (base)</t>
  </si>
  <si>
    <t xml:space="preserve">Optimista</t>
  </si>
  <si>
    <t xml:space="preserve">CÓMO SE CALCULA</t>
  </si>
  <si>
    <t xml:space="preserve">El modelo es lineal en precio, costo de materia prima y volumen, así que el efecto sobre el VAN se obtiene</t>
  </si>
  <si>
    <t xml:space="preserve">multiplicando la variación por el valor presente del rubro afectado, neto de impuesto a la renta:</t>
  </si>
  <si>
    <t xml:space="preserve">   • Precio:   ΔVAN = Δ% × VP(ingresos × (1 − t))</t>
  </si>
  <si>
    <t xml:space="preserve">   • Costo MP: ΔVAN = −Δ% × VP(costo de materia prima × (1 − t))</t>
  </si>
  <si>
    <t xml:space="preserve">   • Volumen:  ΔVAN = Δ% × VP((ingresos − costos variables) × (1 − t))</t>
  </si>
  <si>
    <t xml:space="preserve">Los tres valores presentes están calculados en la hoja Evaluacion, sección D.</t>
  </si>
  <si>
    <t xml:space="preserve">Supuesto: la utilidad antes de impuestos se mantiene positiva en el escenario evaluado. Si un escenario muy</t>
  </si>
  <si>
    <t xml:space="preserve">pesimista da pérdidas, verifica el resultado cambiando el dato directamente en la hoja Supuestos.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</si>
</sst>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"/>
    <numFmt numFmtId="167" formatCode="#,##0.0;\(#,##0.0\);\-"/>
    <numFmt numFmtId="168" formatCode="#,##0.00;\(#,##0.00\);\-"/>
    <numFmt numFmtId="169" formatCode="0.0%"/>
    <numFmt numFmtId="170" formatCode="#,##0;\(#,##0\);\-"/>
    <numFmt numFmtId="171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5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7" t="s">
        <v>7</v>
      </c>
    </row>
    <row r="11" customFormat="false" ht="15" hidden="false" customHeight="false" outlineLevel="0" collapsed="false">
      <c r="A11" s="7" t="s">
        <v>8</v>
      </c>
    </row>
    <row r="12" customFormat="false" ht="15" hidden="false" customHeight="false" outlineLevel="0" collapsed="false">
      <c r="A12" s="7" t="s">
        <v>9</v>
      </c>
    </row>
    <row r="13" customFormat="false" ht="15" hidden="false" customHeight="false" outlineLevel="0" collapsed="false">
      <c r="A13" s="7" t="s">
        <v>10</v>
      </c>
    </row>
    <row r="14" customFormat="false" ht="15" hidden="false" customHeight="false" outlineLevel="0" collapsed="false">
      <c r="A14" s="7" t="s">
        <v>11</v>
      </c>
    </row>
    <row r="15" customFormat="false" ht="15" hidden="false" customHeight="false" outlineLevel="0" collapsed="false">
      <c r="A15" s="7" t="s">
        <v>12</v>
      </c>
    </row>
    <row r="16" customFormat="false" ht="15" hidden="false" customHeight="false" outlineLevel="0" collapsed="false">
      <c r="A16" s="7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  <c r="B19" s="7" t="s">
        <v>16</v>
      </c>
    </row>
    <row r="20" customFormat="false" ht="15" hidden="false" customHeight="false" outlineLevel="0" collapsed="false">
      <c r="A20" s="3" t="s">
        <v>17</v>
      </c>
      <c r="B20" s="7" t="s">
        <v>18</v>
      </c>
    </row>
    <row r="21" customFormat="false" ht="15" hidden="false" customHeight="false" outlineLevel="0" collapsed="false">
      <c r="A21" s="3" t="s">
        <v>19</v>
      </c>
      <c r="B21" s="7" t="s">
        <v>20</v>
      </c>
    </row>
    <row r="22" customFormat="false" ht="15" hidden="false" customHeight="false" outlineLevel="0" collapsed="false">
      <c r="A22" s="3" t="s">
        <v>21</v>
      </c>
      <c r="B22" s="7" t="s">
        <v>22</v>
      </c>
    </row>
    <row r="23" customFormat="false" ht="15" hidden="false" customHeight="false" outlineLevel="0" collapsed="false">
      <c r="A23" s="3" t="s">
        <v>23</v>
      </c>
      <c r="B23" s="7" t="s">
        <v>24</v>
      </c>
    </row>
    <row r="24" customFormat="false" ht="15" hidden="false" customHeight="false" outlineLevel="0" collapsed="false">
      <c r="A24" s="3" t="s">
        <v>25</v>
      </c>
      <c r="B24" s="7" t="s">
        <v>26</v>
      </c>
    </row>
    <row r="25" customFormat="false" ht="15" hidden="false" customHeight="false" outlineLevel="0" collapsed="false">
      <c r="A25" s="3" t="s">
        <v>27</v>
      </c>
      <c r="B25" s="7" t="s">
        <v>28</v>
      </c>
    </row>
    <row r="26" customFormat="false" ht="15" hidden="false" customHeight="false" outlineLevel="0" collapsed="false">
      <c r="A26" s="3" t="s">
        <v>29</v>
      </c>
      <c r="B26" s="7" t="s">
        <v>30</v>
      </c>
    </row>
    <row r="27" customFormat="false" ht="15" hidden="false" customHeight="false" outlineLevel="0" collapsed="false">
      <c r="A27" s="3" t="s">
        <v>31</v>
      </c>
      <c r="B27" s="7" t="s">
        <v>32</v>
      </c>
    </row>
    <row r="30" customFormat="false" ht="15" hidden="false" customHeight="false" outlineLevel="0" collapsed="false">
      <c r="A30" s="8" t="s">
        <v>33</v>
      </c>
    </row>
    <row r="31" customFormat="false" ht="15" hidden="false" customHeight="false" outlineLevel="0" collapsed="false">
      <c r="A31" s="7" t="s">
        <v>34</v>
      </c>
    </row>
    <row r="32" customFormat="false" ht="15" hidden="false" customHeight="false" outlineLevel="0" collapsed="false">
      <c r="A32" s="7" t="s">
        <v>35</v>
      </c>
    </row>
    <row r="33" customFormat="false" ht="15" hidden="false" customHeight="false" outlineLevel="0" collapsed="false">
      <c r="A33" s="7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12" min="3" style="0" width="12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9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10" t="s">
        <v>39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customFormat="false" ht="15" hidden="false" customHeight="false" outlineLevel="0" collapsed="false">
      <c r="A5" s="7" t="s">
        <v>40</v>
      </c>
      <c r="B5" s="11" t="n">
        <v>10</v>
      </c>
      <c r="C5" s="2" t="s">
        <v>41</v>
      </c>
    </row>
    <row r="6" customFormat="false" ht="15" hidden="false" customHeight="false" outlineLevel="0" collapsed="false">
      <c r="A6" s="7" t="s">
        <v>42</v>
      </c>
      <c r="B6" s="11" t="n">
        <v>2026</v>
      </c>
    </row>
    <row r="7" customFormat="false" ht="15" hidden="false" customHeight="false" outlineLevel="0" collapsed="false">
      <c r="A7" s="7" t="s">
        <v>43</v>
      </c>
      <c r="B7" s="12" t="n">
        <v>3.75</v>
      </c>
      <c r="C7" s="2" t="s">
        <v>44</v>
      </c>
    </row>
    <row r="9" customFormat="false" ht="15" hidden="false" customHeight="false" outlineLevel="0" collapsed="false">
      <c r="A9" s="10" t="s">
        <v>45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customFormat="false" ht="15" hidden="false" customHeight="false" outlineLevel="0" collapsed="false">
      <c r="A10" s="7" t="s">
        <v>46</v>
      </c>
      <c r="B10" s="13" t="n">
        <v>720</v>
      </c>
      <c r="C10" s="2" t="s">
        <v>47</v>
      </c>
      <c r="D10" s="2" t="s">
        <v>48</v>
      </c>
    </row>
    <row r="11" customFormat="false" ht="15" hidden="false" customHeight="false" outlineLevel="0" collapsed="false">
      <c r="A11" s="7" t="s">
        <v>49</v>
      </c>
      <c r="B11" s="14" t="n">
        <v>8.5</v>
      </c>
      <c r="C11" s="2" t="s">
        <v>50</v>
      </c>
      <c r="D11" s="2" t="s">
        <v>51</v>
      </c>
    </row>
    <row r="12" customFormat="false" ht="15" hidden="false" customHeight="false" outlineLevel="0" collapsed="false">
      <c r="A12" s="7" t="s">
        <v>52</v>
      </c>
      <c r="B12" s="15" t="n">
        <v>0</v>
      </c>
      <c r="D12" s="2" t="s">
        <v>53</v>
      </c>
    </row>
    <row r="13" customFormat="false" ht="15" hidden="false" customHeight="false" outlineLevel="0" collapsed="false">
      <c r="A13" s="7" t="s">
        <v>54</v>
      </c>
      <c r="B13" s="12" t="n">
        <v>0.55</v>
      </c>
      <c r="C13" s="2" t="s">
        <v>55</v>
      </c>
      <c r="D13" s="2" t="s">
        <v>56</v>
      </c>
    </row>
    <row r="15" customFormat="false" ht="15" hidden="false" customHeight="false" outlineLevel="0" collapsed="false">
      <c r="A15" s="10" t="s">
        <v>57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customFormat="false" ht="15" hidden="false" customHeight="false" outlineLevel="0" collapsed="false">
      <c r="A16" s="7" t="s">
        <v>58</v>
      </c>
      <c r="B16" s="14" t="n">
        <v>1.8</v>
      </c>
      <c r="C16" s="2" t="s">
        <v>59</v>
      </c>
    </row>
    <row r="17" customFormat="false" ht="15" hidden="false" customHeight="false" outlineLevel="0" collapsed="false">
      <c r="A17" s="7" t="s">
        <v>60</v>
      </c>
      <c r="B17" s="14" t="n">
        <v>0.35</v>
      </c>
      <c r="C17" s="2" t="s">
        <v>61</v>
      </c>
    </row>
    <row r="18" customFormat="false" ht="15" hidden="false" customHeight="false" outlineLevel="0" collapsed="false">
      <c r="A18" s="7" t="s">
        <v>62</v>
      </c>
      <c r="B18" s="14" t="n">
        <v>0.6</v>
      </c>
      <c r="C18" s="2" t="s">
        <v>61</v>
      </c>
    </row>
    <row r="19" customFormat="false" ht="15" hidden="false" customHeight="false" outlineLevel="0" collapsed="false">
      <c r="A19" s="7" t="s">
        <v>63</v>
      </c>
      <c r="B19" s="14" t="n">
        <v>0.22</v>
      </c>
      <c r="C19" s="2" t="s">
        <v>61</v>
      </c>
    </row>
    <row r="20" customFormat="false" ht="15" hidden="false" customHeight="false" outlineLevel="0" collapsed="false">
      <c r="A20" s="7" t="s">
        <v>64</v>
      </c>
      <c r="B20" s="14" t="n">
        <v>0.18</v>
      </c>
      <c r="C20" s="2" t="s">
        <v>61</v>
      </c>
    </row>
    <row r="22" customFormat="false" ht="15" hidden="false" customHeight="false" outlineLevel="0" collapsed="false">
      <c r="A22" s="10" t="s">
        <v>65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customFormat="false" ht="15" hidden="false" customHeight="false" outlineLevel="0" collapsed="false">
      <c r="A23" s="7" t="s">
        <v>66</v>
      </c>
      <c r="B23" s="12" t="n">
        <v>1.45</v>
      </c>
      <c r="C23" s="2" t="s">
        <v>67</v>
      </c>
    </row>
    <row r="25" customFormat="false" ht="15" hidden="false" customHeight="false" outlineLevel="0" collapsed="false">
      <c r="A25" s="10" t="s">
        <v>68</v>
      </c>
      <c r="B25" s="10" t="s">
        <v>69</v>
      </c>
      <c r="C25" s="10" t="s">
        <v>70</v>
      </c>
      <c r="D25" s="10" t="s">
        <v>71</v>
      </c>
      <c r="E25" s="10" t="s">
        <v>72</v>
      </c>
    </row>
    <row r="26" customFormat="false" ht="15" hidden="false" customHeight="false" outlineLevel="0" collapsed="false">
      <c r="A26" s="16" t="s">
        <v>73</v>
      </c>
      <c r="B26" s="17" t="s">
        <v>74</v>
      </c>
      <c r="C26" s="17" t="n">
        <v>1</v>
      </c>
      <c r="D26" s="18" t="n">
        <v>4500</v>
      </c>
      <c r="E26" s="19" t="n">
        <f aca="false">C26*D26*12*Supuestos!$B$23</f>
        <v>78300</v>
      </c>
    </row>
    <row r="27" customFormat="false" ht="15" hidden="false" customHeight="false" outlineLevel="0" collapsed="false">
      <c r="A27" s="16" t="s">
        <v>75</v>
      </c>
      <c r="B27" s="17" t="s">
        <v>74</v>
      </c>
      <c r="C27" s="17" t="n">
        <v>1</v>
      </c>
      <c r="D27" s="18" t="n">
        <v>3000</v>
      </c>
      <c r="E27" s="19" t="n">
        <f aca="false">C27*D27*12*Supuestos!$B$23</f>
        <v>52200</v>
      </c>
    </row>
    <row r="28" customFormat="false" ht="15" hidden="false" customHeight="false" outlineLevel="0" collapsed="false">
      <c r="A28" s="16" t="s">
        <v>76</v>
      </c>
      <c r="B28" s="17" t="s">
        <v>74</v>
      </c>
      <c r="C28" s="17" t="n">
        <v>12</v>
      </c>
      <c r="D28" s="18" t="n">
        <v>1300</v>
      </c>
      <c r="E28" s="19" t="n">
        <f aca="false">C28*D28*12*Supuestos!$B$23</f>
        <v>271440</v>
      </c>
    </row>
    <row r="29" customFormat="false" ht="15" hidden="false" customHeight="false" outlineLevel="0" collapsed="false">
      <c r="A29" s="16" t="s">
        <v>77</v>
      </c>
      <c r="B29" s="17" t="s">
        <v>74</v>
      </c>
      <c r="C29" s="17" t="n">
        <v>1</v>
      </c>
      <c r="D29" s="18" t="n">
        <v>1500</v>
      </c>
      <c r="E29" s="19" t="n">
        <f aca="false">C29*D29*12*Supuestos!$B$23</f>
        <v>26100</v>
      </c>
    </row>
    <row r="30" customFormat="false" ht="15" hidden="false" customHeight="false" outlineLevel="0" collapsed="false">
      <c r="A30" s="16" t="s">
        <v>78</v>
      </c>
      <c r="B30" s="17" t="s">
        <v>79</v>
      </c>
      <c r="C30" s="17" t="n">
        <v>1</v>
      </c>
      <c r="D30" s="18" t="n">
        <v>5000</v>
      </c>
      <c r="E30" s="19" t="n">
        <f aca="false">C30*D30*12*Supuestos!$B$23</f>
        <v>87000</v>
      </c>
    </row>
    <row r="31" customFormat="false" ht="15" hidden="false" customHeight="false" outlineLevel="0" collapsed="false">
      <c r="A31" s="16" t="s">
        <v>80</v>
      </c>
      <c r="B31" s="17" t="s">
        <v>79</v>
      </c>
      <c r="C31" s="17" t="n">
        <v>1</v>
      </c>
      <c r="D31" s="18" t="n">
        <v>1800</v>
      </c>
      <c r="E31" s="19" t="n">
        <f aca="false">C31*D31*12*Supuestos!$B$23</f>
        <v>31320</v>
      </c>
    </row>
    <row r="32" customFormat="false" ht="15" hidden="false" customHeight="false" outlineLevel="0" collapsed="false">
      <c r="A32" s="16" t="s">
        <v>81</v>
      </c>
      <c r="B32" s="17" t="s">
        <v>82</v>
      </c>
      <c r="C32" s="17" t="n">
        <v>1</v>
      </c>
      <c r="D32" s="18" t="n">
        <v>3500</v>
      </c>
      <c r="E32" s="19" t="n">
        <f aca="false">C32*D32*12*Supuestos!$B$23</f>
        <v>60900</v>
      </c>
    </row>
    <row r="33" customFormat="false" ht="15" hidden="false" customHeight="false" outlineLevel="0" collapsed="false">
      <c r="A33" s="16" t="s">
        <v>83</v>
      </c>
      <c r="B33" s="17" t="s">
        <v>82</v>
      </c>
      <c r="C33" s="17" t="n">
        <v>2</v>
      </c>
      <c r="D33" s="18" t="n">
        <v>1600</v>
      </c>
      <c r="E33" s="19" t="n">
        <f aca="false">C33*D33*12*Supuestos!$B$23</f>
        <v>55680</v>
      </c>
    </row>
    <row r="34" customFormat="false" ht="15" hidden="false" customHeight="false" outlineLevel="0" collapsed="false">
      <c r="A34" s="20" t="s">
        <v>84</v>
      </c>
      <c r="E34" s="21" t="n">
        <f aca="false">SUM(E26:E33)</f>
        <v>662940</v>
      </c>
    </row>
    <row r="36" customFormat="false" ht="15" hidden="false" customHeight="false" outlineLevel="0" collapsed="false">
      <c r="A36" s="10" t="s">
        <v>85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customFormat="false" ht="15" hidden="false" customHeight="false" outlineLevel="0" collapsed="false">
      <c r="A37" s="7" t="s">
        <v>86</v>
      </c>
      <c r="B37" s="15" t="n">
        <v>0.03</v>
      </c>
    </row>
    <row r="38" customFormat="false" ht="15" hidden="false" customHeight="false" outlineLevel="0" collapsed="false">
      <c r="A38" s="7" t="s">
        <v>87</v>
      </c>
      <c r="B38" s="18" t="n">
        <v>24000</v>
      </c>
      <c r="C38" s="2" t="s">
        <v>88</v>
      </c>
    </row>
    <row r="39" customFormat="false" ht="15" hidden="false" customHeight="false" outlineLevel="0" collapsed="false">
      <c r="A39" s="7" t="s">
        <v>89</v>
      </c>
      <c r="B39" s="18" t="n">
        <v>12000</v>
      </c>
      <c r="C39" s="2" t="s">
        <v>88</v>
      </c>
    </row>
    <row r="40" customFormat="false" ht="15" hidden="false" customHeight="false" outlineLevel="0" collapsed="false">
      <c r="A40" s="7" t="s">
        <v>90</v>
      </c>
      <c r="B40" s="18" t="n">
        <v>15000</v>
      </c>
      <c r="C40" s="2" t="s">
        <v>88</v>
      </c>
    </row>
    <row r="41" customFormat="false" ht="15" hidden="false" customHeight="false" outlineLevel="0" collapsed="false">
      <c r="A41" s="7" t="s">
        <v>91</v>
      </c>
      <c r="B41" s="18" t="n">
        <v>30000</v>
      </c>
      <c r="C41" s="2" t="s">
        <v>88</v>
      </c>
    </row>
    <row r="42" customFormat="false" ht="15" hidden="false" customHeight="false" outlineLevel="0" collapsed="false">
      <c r="A42" s="7" t="s">
        <v>92</v>
      </c>
      <c r="B42" s="18" t="n">
        <v>18000</v>
      </c>
      <c r="C42" s="2" t="s">
        <v>88</v>
      </c>
    </row>
    <row r="43" customFormat="false" ht="15" hidden="false" customHeight="false" outlineLevel="0" collapsed="false">
      <c r="A43" s="7" t="s">
        <v>93</v>
      </c>
      <c r="B43" s="18" t="n">
        <v>10000</v>
      </c>
      <c r="C43" s="2" t="s">
        <v>88</v>
      </c>
    </row>
    <row r="45" customFormat="false" ht="15" hidden="false" customHeight="false" outlineLevel="0" collapsed="false">
      <c r="A45" s="10" t="s">
        <v>94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customFormat="false" ht="15" hidden="false" customHeight="false" outlineLevel="0" collapsed="false">
      <c r="A46" s="7" t="s">
        <v>95</v>
      </c>
      <c r="B46" s="15" t="n">
        <v>0.295</v>
      </c>
      <c r="D46" s="2" t="s">
        <v>96</v>
      </c>
    </row>
    <row r="47" customFormat="false" ht="15" hidden="false" customHeight="false" outlineLevel="0" collapsed="false">
      <c r="A47" s="7" t="s">
        <v>97</v>
      </c>
      <c r="B47" s="15" t="n">
        <v>0.15</v>
      </c>
      <c r="D47" s="2" t="s">
        <v>98</v>
      </c>
    </row>
    <row r="49" customFormat="false" ht="15" hidden="false" customHeight="false" outlineLevel="0" collapsed="false">
      <c r="A49" s="10" t="s">
        <v>99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customFormat="false" ht="15" hidden="false" customHeight="false" outlineLevel="0" collapsed="false">
      <c r="A50" s="7" t="s">
        <v>100</v>
      </c>
      <c r="B50" s="15" t="n">
        <v>0.6</v>
      </c>
    </row>
    <row r="51" customFormat="false" ht="15" hidden="false" customHeight="false" outlineLevel="0" collapsed="false">
      <c r="A51" s="7" t="s">
        <v>101</v>
      </c>
      <c r="B51" s="15" t="n">
        <v>0.14</v>
      </c>
      <c r="D51" s="2" t="s">
        <v>102</v>
      </c>
    </row>
    <row r="52" customFormat="false" ht="15" hidden="false" customHeight="false" outlineLevel="0" collapsed="false">
      <c r="A52" s="7" t="s">
        <v>103</v>
      </c>
      <c r="B52" s="11" t="n">
        <v>5</v>
      </c>
      <c r="C52" s="2" t="s">
        <v>41</v>
      </c>
    </row>
    <row r="53" customFormat="false" ht="15" hidden="false" customHeight="false" outlineLevel="0" collapsed="false">
      <c r="A53" s="7" t="s">
        <v>104</v>
      </c>
      <c r="B53" s="11" t="n">
        <v>3</v>
      </c>
      <c r="C53" s="2" t="s">
        <v>105</v>
      </c>
    </row>
    <row r="55" customFormat="false" ht="15" hidden="false" customHeight="false" outlineLevel="0" collapsed="false">
      <c r="A55" s="10" t="s">
        <v>106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customFormat="false" ht="15" hidden="false" customHeight="false" outlineLevel="0" collapsed="false">
      <c r="A56" s="2" t="s">
        <v>107</v>
      </c>
    </row>
    <row r="57" customFormat="false" ht="15" hidden="false" customHeight="false" outlineLevel="0" collapsed="false">
      <c r="A57" s="10" t="s">
        <v>108</v>
      </c>
      <c r="B57" s="10" t="s">
        <v>109</v>
      </c>
      <c r="C57" s="22" t="s">
        <v>110</v>
      </c>
      <c r="D57" s="22" t="s">
        <v>111</v>
      </c>
      <c r="E57" s="22" t="s">
        <v>112</v>
      </c>
      <c r="F57" s="22" t="s">
        <v>113</v>
      </c>
      <c r="G57" s="22" t="s">
        <v>114</v>
      </c>
      <c r="H57" s="22" t="s">
        <v>115</v>
      </c>
      <c r="I57" s="22" t="s">
        <v>116</v>
      </c>
      <c r="J57" s="22" t="s">
        <v>117</v>
      </c>
      <c r="K57" s="22" t="s">
        <v>118</v>
      </c>
      <c r="L57" s="22" t="s">
        <v>119</v>
      </c>
    </row>
    <row r="58" customFormat="false" ht="15" hidden="false" customHeight="false" outlineLevel="0" collapsed="false">
      <c r="A58" s="7" t="s">
        <v>120</v>
      </c>
      <c r="C58" s="15" t="n">
        <v>0.6</v>
      </c>
      <c r="D58" s="15" t="n">
        <v>0.68</v>
      </c>
      <c r="E58" s="15" t="n">
        <v>0.75</v>
      </c>
      <c r="F58" s="15" t="n">
        <v>0.8</v>
      </c>
      <c r="G58" s="15" t="n">
        <v>0.85</v>
      </c>
      <c r="H58" s="15" t="n">
        <v>0.88</v>
      </c>
      <c r="I58" s="15" t="n">
        <v>0.9</v>
      </c>
      <c r="J58" s="15" t="n">
        <v>0.9</v>
      </c>
      <c r="K58" s="15" t="n">
        <v>0.9</v>
      </c>
      <c r="L58" s="15" t="n"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6" min="5" style="0" width="12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9" t="s">
        <v>121</v>
      </c>
    </row>
    <row r="2" customFormat="false" ht="15" hidden="false" customHeight="false" outlineLevel="0" collapsed="false">
      <c r="A2" s="2" t="s">
        <v>122</v>
      </c>
    </row>
    <row r="4" customFormat="false" ht="15" hidden="false" customHeight="false" outlineLevel="0" collapsed="false">
      <c r="A4" s="10" t="s">
        <v>108</v>
      </c>
      <c r="B4" s="10" t="s">
        <v>123</v>
      </c>
      <c r="C4" s="10" t="s">
        <v>124</v>
      </c>
      <c r="D4" s="10" t="s">
        <v>125</v>
      </c>
      <c r="E4" s="10" t="s">
        <v>126</v>
      </c>
      <c r="F4" s="10" t="s">
        <v>127</v>
      </c>
      <c r="G4" s="10" t="s">
        <v>128</v>
      </c>
    </row>
    <row r="5" customFormat="false" ht="15" hidden="false" customHeight="false" outlineLevel="0" collapsed="false">
      <c r="A5" s="10" t="s">
        <v>129</v>
      </c>
      <c r="B5" s="10"/>
      <c r="C5" s="10"/>
      <c r="D5" s="10"/>
      <c r="E5" s="10"/>
      <c r="F5" s="10"/>
      <c r="G5" s="10"/>
    </row>
    <row r="6" customFormat="false" ht="15" hidden="false" customHeight="false" outlineLevel="0" collapsed="false">
      <c r="A6" s="16" t="s">
        <v>130</v>
      </c>
      <c r="B6" s="13" t="n">
        <v>1500</v>
      </c>
      <c r="C6" s="18" t="n">
        <v>120</v>
      </c>
      <c r="D6" s="19" t="n">
        <f aca="false">B6*C6</f>
        <v>180000</v>
      </c>
      <c r="E6" s="17" t="n">
        <v>0</v>
      </c>
      <c r="F6" s="15" t="n">
        <v>0</v>
      </c>
      <c r="G6" s="2" t="s">
        <v>131</v>
      </c>
    </row>
    <row r="7" customFormat="false" ht="15" hidden="false" customHeight="false" outlineLevel="0" collapsed="false">
      <c r="A7" s="16" t="s">
        <v>132</v>
      </c>
      <c r="B7" s="13" t="n">
        <v>1</v>
      </c>
      <c r="C7" s="18" t="n">
        <v>320000</v>
      </c>
      <c r="D7" s="19" t="n">
        <f aca="false">B7*C7</f>
        <v>320000</v>
      </c>
      <c r="E7" s="17" t="n">
        <v>20</v>
      </c>
      <c r="F7" s="15" t="n">
        <v>0.05</v>
      </c>
      <c r="G7" s="2" t="s">
        <v>133</v>
      </c>
    </row>
    <row r="8" customFormat="false" ht="15" hidden="false" customHeight="false" outlineLevel="0" collapsed="false">
      <c r="A8" s="16" t="s">
        <v>134</v>
      </c>
      <c r="B8" s="13" t="n">
        <v>1</v>
      </c>
      <c r="C8" s="18" t="n">
        <v>420000</v>
      </c>
      <c r="D8" s="19" t="n">
        <f aca="false">B8*C8</f>
        <v>420000</v>
      </c>
      <c r="E8" s="17" t="n">
        <v>10</v>
      </c>
      <c r="F8" s="15" t="n">
        <v>0.1</v>
      </c>
      <c r="G8" s="2" t="s">
        <v>135</v>
      </c>
    </row>
    <row r="9" customFormat="false" ht="15" hidden="false" customHeight="false" outlineLevel="0" collapsed="false">
      <c r="A9" s="16" t="s">
        <v>136</v>
      </c>
      <c r="B9" s="13" t="n">
        <v>1</v>
      </c>
      <c r="C9" s="18" t="n">
        <v>95000</v>
      </c>
      <c r="D9" s="19" t="n">
        <f aca="false">B9*C9</f>
        <v>95000</v>
      </c>
      <c r="E9" s="17" t="n">
        <v>10</v>
      </c>
      <c r="F9" s="15" t="n">
        <v>0.1</v>
      </c>
      <c r="G9" s="2" t="s">
        <v>135</v>
      </c>
    </row>
    <row r="10" customFormat="false" ht="15" hidden="false" customHeight="false" outlineLevel="0" collapsed="false">
      <c r="A10" s="16" t="s">
        <v>137</v>
      </c>
      <c r="B10" s="13" t="n">
        <v>1</v>
      </c>
      <c r="C10" s="18" t="n">
        <v>45000</v>
      </c>
      <c r="D10" s="19" t="n">
        <f aca="false">B10*C10</f>
        <v>45000</v>
      </c>
      <c r="E10" s="17" t="n">
        <v>10</v>
      </c>
      <c r="F10" s="15" t="n">
        <v>0.1</v>
      </c>
      <c r="G10" s="2" t="s">
        <v>135</v>
      </c>
    </row>
    <row r="11" customFormat="false" ht="15" hidden="false" customHeight="false" outlineLevel="0" collapsed="false">
      <c r="A11" s="16" t="s">
        <v>138</v>
      </c>
      <c r="B11" s="13" t="n">
        <v>1</v>
      </c>
      <c r="C11" s="18" t="n">
        <v>25000</v>
      </c>
      <c r="D11" s="19" t="n">
        <f aca="false">B11*C11</f>
        <v>25000</v>
      </c>
      <c r="E11" s="17" t="n">
        <v>10</v>
      </c>
      <c r="F11" s="15" t="n">
        <v>0.1</v>
      </c>
      <c r="G11" s="2" t="s">
        <v>135</v>
      </c>
    </row>
    <row r="12" customFormat="false" ht="15" hidden="false" customHeight="false" outlineLevel="0" collapsed="false">
      <c r="A12" s="16" t="s">
        <v>139</v>
      </c>
      <c r="B12" s="13" t="n">
        <v>6</v>
      </c>
      <c r="C12" s="18" t="n">
        <v>3000</v>
      </c>
      <c r="D12" s="19" t="n">
        <f aca="false">B12*C12</f>
        <v>18000</v>
      </c>
      <c r="E12" s="17" t="n">
        <v>4</v>
      </c>
      <c r="F12" s="15" t="n">
        <v>0.25</v>
      </c>
      <c r="G12" s="2" t="s">
        <v>140</v>
      </c>
    </row>
    <row r="13" customFormat="false" ht="15" hidden="false" customHeight="false" outlineLevel="0" collapsed="false">
      <c r="A13" s="16" t="s">
        <v>141</v>
      </c>
      <c r="B13" s="13" t="n">
        <v>1</v>
      </c>
      <c r="C13" s="18" t="n">
        <v>85000</v>
      </c>
      <c r="D13" s="19" t="n">
        <f aca="false">B13*C13</f>
        <v>85000</v>
      </c>
      <c r="E13" s="17" t="n">
        <v>5</v>
      </c>
      <c r="F13" s="15" t="n">
        <v>0.2</v>
      </c>
      <c r="G13" s="2" t="s">
        <v>142</v>
      </c>
    </row>
    <row r="14" customFormat="false" ht="15" hidden="false" customHeight="false" outlineLevel="0" collapsed="false">
      <c r="A14" s="20" t="s">
        <v>143</v>
      </c>
      <c r="D14" s="21" t="n">
        <f aca="false">SUM(D6:D13)</f>
        <v>1188000</v>
      </c>
    </row>
    <row r="16" customFormat="false" ht="15" hidden="false" customHeight="false" outlineLevel="0" collapsed="false">
      <c r="A16" s="10" t="s">
        <v>144</v>
      </c>
      <c r="B16" s="10"/>
      <c r="C16" s="10"/>
      <c r="D16" s="10"/>
      <c r="E16" s="10"/>
      <c r="F16" s="10"/>
      <c r="G16" s="10"/>
    </row>
    <row r="17" customFormat="false" ht="15" hidden="false" customHeight="false" outlineLevel="0" collapsed="false">
      <c r="A17" s="16" t="s">
        <v>145</v>
      </c>
      <c r="B17" s="23"/>
      <c r="C17" s="23"/>
      <c r="D17" s="18" t="n">
        <v>18000</v>
      </c>
      <c r="E17" s="23"/>
      <c r="F17" s="23"/>
    </row>
    <row r="18" customFormat="false" ht="15" hidden="false" customHeight="false" outlineLevel="0" collapsed="false">
      <c r="A18" s="16" t="s">
        <v>146</v>
      </c>
      <c r="B18" s="23"/>
      <c r="C18" s="23"/>
      <c r="D18" s="18" t="n">
        <v>4500</v>
      </c>
      <c r="E18" s="23"/>
      <c r="F18" s="23"/>
    </row>
    <row r="19" customFormat="false" ht="15" hidden="false" customHeight="false" outlineLevel="0" collapsed="false">
      <c r="A19" s="16" t="s">
        <v>147</v>
      </c>
      <c r="B19" s="23"/>
      <c r="C19" s="23"/>
      <c r="D19" s="18" t="n">
        <v>6000</v>
      </c>
      <c r="E19" s="23"/>
      <c r="F19" s="23"/>
    </row>
    <row r="20" customFormat="false" ht="15" hidden="false" customHeight="false" outlineLevel="0" collapsed="false">
      <c r="A20" s="16" t="s">
        <v>148</v>
      </c>
      <c r="B20" s="23"/>
      <c r="C20" s="23"/>
      <c r="D20" s="18" t="n">
        <v>3500</v>
      </c>
      <c r="E20" s="23"/>
      <c r="F20" s="23"/>
    </row>
    <row r="21" customFormat="false" ht="15" hidden="false" customHeight="false" outlineLevel="0" collapsed="false">
      <c r="A21" s="16" t="s">
        <v>149</v>
      </c>
      <c r="B21" s="23"/>
      <c r="C21" s="23"/>
      <c r="D21" s="18" t="n">
        <v>22000</v>
      </c>
      <c r="E21" s="23"/>
      <c r="F21" s="23"/>
    </row>
    <row r="22" customFormat="false" ht="15" hidden="false" customHeight="false" outlineLevel="0" collapsed="false">
      <c r="A22" s="16" t="s">
        <v>150</v>
      </c>
      <c r="B22" s="23"/>
      <c r="C22" s="23"/>
      <c r="D22" s="18" t="n">
        <v>9000</v>
      </c>
      <c r="E22" s="23"/>
      <c r="F22" s="23"/>
    </row>
    <row r="23" customFormat="false" ht="15" hidden="false" customHeight="false" outlineLevel="0" collapsed="false">
      <c r="A23" s="16" t="s">
        <v>151</v>
      </c>
      <c r="B23" s="23"/>
      <c r="C23" s="23"/>
      <c r="D23" s="18" t="n">
        <v>15000</v>
      </c>
      <c r="E23" s="23"/>
      <c r="F23" s="23"/>
    </row>
    <row r="24" customFormat="false" ht="15" hidden="false" customHeight="false" outlineLevel="0" collapsed="false">
      <c r="A24" s="16" t="s">
        <v>152</v>
      </c>
      <c r="B24" s="23"/>
      <c r="C24" s="23"/>
      <c r="D24" s="18" t="n">
        <v>4000</v>
      </c>
      <c r="E24" s="23"/>
      <c r="F24" s="23"/>
    </row>
    <row r="25" customFormat="false" ht="15" hidden="false" customHeight="false" outlineLevel="0" collapsed="false">
      <c r="A25" s="20" t="s">
        <v>153</v>
      </c>
      <c r="D25" s="21" t="n">
        <f aca="false">SUM(D17:D24)</f>
        <v>82000</v>
      </c>
      <c r="G25" s="2" t="s">
        <v>154</v>
      </c>
    </row>
    <row r="27" customFormat="false" ht="15" hidden="false" customHeight="false" outlineLevel="0" collapsed="false">
      <c r="A27" s="10" t="s">
        <v>155</v>
      </c>
      <c r="B27" s="10"/>
      <c r="C27" s="10"/>
      <c r="D27" s="10"/>
      <c r="E27" s="10"/>
      <c r="F27" s="10"/>
      <c r="G27" s="10"/>
    </row>
    <row r="28" customFormat="false" ht="15" hidden="false" customHeight="false" outlineLevel="0" collapsed="false">
      <c r="A28" s="7" t="s">
        <v>156</v>
      </c>
      <c r="D28" s="24" t="n">
        <f aca="false">Operacion!C$39</f>
        <v>2781558.18181818</v>
      </c>
    </row>
    <row r="29" customFormat="false" ht="15" hidden="false" customHeight="false" outlineLevel="0" collapsed="false">
      <c r="A29" s="7" t="s">
        <v>157</v>
      </c>
      <c r="D29" s="25" t="n">
        <f aca="false">Supuestos!$B$53</f>
        <v>3</v>
      </c>
    </row>
    <row r="30" customFormat="false" ht="15" hidden="false" customHeight="false" outlineLevel="0" collapsed="false">
      <c r="A30" s="20" t="s">
        <v>158</v>
      </c>
      <c r="D30" s="21" t="n">
        <f aca="false">D28/12*D29</f>
        <v>695389.545454545</v>
      </c>
      <c r="G30" s="2" t="s">
        <v>159</v>
      </c>
    </row>
    <row r="32" customFormat="false" ht="15" hidden="false" customHeight="false" outlineLevel="0" collapsed="false">
      <c r="A32" s="10" t="s">
        <v>160</v>
      </c>
      <c r="B32" s="10"/>
      <c r="C32" s="10"/>
      <c r="D32" s="10"/>
      <c r="E32" s="10"/>
      <c r="F32" s="10"/>
      <c r="G32" s="10"/>
    </row>
    <row r="33" customFormat="false" ht="15" hidden="false" customHeight="false" outlineLevel="0" collapsed="false">
      <c r="A33" s="26" t="s">
        <v>161</v>
      </c>
      <c r="D33" s="27" t="n">
        <f aca="false">Inversiones!$D$14+Inversiones!$D$25+Inversiones!$D$30</f>
        <v>1965389.54545455</v>
      </c>
    </row>
    <row r="35" customFormat="false" ht="15" hidden="false" customHeight="false" outlineLevel="0" collapsed="false">
      <c r="A35" s="10" t="s">
        <v>162</v>
      </c>
      <c r="B35" s="10"/>
      <c r="C35" s="10"/>
      <c r="D35" s="10"/>
      <c r="E35" s="10"/>
      <c r="F35" s="10"/>
      <c r="G35" s="10"/>
    </row>
    <row r="36" customFormat="false" ht="15" hidden="false" customHeight="false" outlineLevel="0" collapsed="false">
      <c r="A36" s="7" t="s">
        <v>163</v>
      </c>
      <c r="D36" s="28" t="n">
        <f aca="false">Inversiones!$D$33*(1-Supuestos!$B$50)</f>
        <v>786155.818181818</v>
      </c>
      <c r="E36" s="29" t="n">
        <f aca="false">D36/Inversiones!$D$33</f>
        <v>0.4</v>
      </c>
    </row>
    <row r="37" customFormat="false" ht="15" hidden="false" customHeight="false" outlineLevel="0" collapsed="false">
      <c r="A37" s="7" t="s">
        <v>164</v>
      </c>
      <c r="D37" s="28" t="n">
        <f aca="false">Inversiones!$D$33*Supuestos!$B$50</f>
        <v>1179233.72727273</v>
      </c>
      <c r="E37" s="29" t="n">
        <f aca="false">D37/Inversiones!$D$33</f>
        <v>0.6</v>
      </c>
    </row>
    <row r="38" customFormat="false" ht="15" hidden="false" customHeight="false" outlineLevel="0" collapsed="false">
      <c r="A38" s="20" t="s">
        <v>165</v>
      </c>
      <c r="D38" s="21" t="n">
        <f aca="false">D36+D37</f>
        <v>1965389.54545455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12" min="3" style="0" width="12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9" t="s">
        <v>166</v>
      </c>
    </row>
    <row r="2" customFormat="false" ht="15" hidden="false" customHeight="false" outlineLevel="0" collapsed="false">
      <c r="A2" s="2" t="s">
        <v>167</v>
      </c>
    </row>
    <row r="4" customFormat="false" ht="15" hidden="false" customHeight="false" outlineLevel="0" collapsed="false">
      <c r="A4" s="10" t="s">
        <v>168</v>
      </c>
      <c r="B4" s="10" t="s">
        <v>109</v>
      </c>
      <c r="C4" s="22" t="s">
        <v>110</v>
      </c>
      <c r="D4" s="22" t="s">
        <v>111</v>
      </c>
      <c r="E4" s="22" t="s">
        <v>112</v>
      </c>
      <c r="F4" s="22" t="s">
        <v>113</v>
      </c>
      <c r="G4" s="22" t="s">
        <v>114</v>
      </c>
      <c r="H4" s="22" t="s">
        <v>115</v>
      </c>
      <c r="I4" s="22" t="s">
        <v>116</v>
      </c>
      <c r="J4" s="22" t="s">
        <v>117</v>
      </c>
      <c r="K4" s="22" t="s">
        <v>118</v>
      </c>
      <c r="L4" s="22" t="s">
        <v>119</v>
      </c>
    </row>
    <row r="5" customFormat="false" ht="15" hidden="false" customHeight="false" outlineLevel="0" collapsed="false">
      <c r="A5" s="6" t="str">
        <f aca="false">Inversiones!A6</f>
        <v>Terreno</v>
      </c>
      <c r="B5" s="24" t="n">
        <f aca="false">Inversiones!D6</f>
        <v>180000</v>
      </c>
      <c r="C5" s="19" t="n">
        <f aca="false">IF(1&lt;=Inversiones!$E$6,$B$5*Inversiones!$F$6,0)</f>
        <v>0</v>
      </c>
      <c r="D5" s="19" t="n">
        <f aca="false">IF(2&lt;=Inversiones!$E$6,$B$5*Inversiones!$F$6,0)</f>
        <v>0</v>
      </c>
      <c r="E5" s="19" t="n">
        <f aca="false">IF(3&lt;=Inversiones!$E$6,$B$5*Inversiones!$F$6,0)</f>
        <v>0</v>
      </c>
      <c r="F5" s="19" t="n">
        <f aca="false">IF(4&lt;=Inversiones!$E$6,$B$5*Inversiones!$F$6,0)</f>
        <v>0</v>
      </c>
      <c r="G5" s="19" t="n">
        <f aca="false">IF(5&lt;=Inversiones!$E$6,$B$5*Inversiones!$F$6,0)</f>
        <v>0</v>
      </c>
      <c r="H5" s="19" t="n">
        <f aca="false">IF(6&lt;=Inversiones!$E$6,$B$5*Inversiones!$F$6,0)</f>
        <v>0</v>
      </c>
      <c r="I5" s="19" t="n">
        <f aca="false">IF(7&lt;=Inversiones!$E$6,$B$5*Inversiones!$F$6,0)</f>
        <v>0</v>
      </c>
      <c r="J5" s="19" t="n">
        <f aca="false">IF(8&lt;=Inversiones!$E$6,$B$5*Inversiones!$F$6,0)</f>
        <v>0</v>
      </c>
      <c r="K5" s="19" t="n">
        <f aca="false">IF(9&lt;=Inversiones!$E$6,$B$5*Inversiones!$F$6,0)</f>
        <v>0</v>
      </c>
      <c r="L5" s="19" t="n">
        <f aca="false">IF(10&lt;=Inversiones!$E$6,$B$5*Inversiones!$F$6,0)</f>
        <v>0</v>
      </c>
    </row>
    <row r="6" customFormat="false" ht="15" hidden="false" customHeight="false" outlineLevel="0" collapsed="false">
      <c r="A6" s="6" t="str">
        <f aca="false">Inversiones!A7</f>
        <v>Obras civiles y edificaciones</v>
      </c>
      <c r="B6" s="24" t="n">
        <f aca="false">Inversiones!D7</f>
        <v>320000</v>
      </c>
      <c r="C6" s="19" t="n">
        <f aca="false">IF(1&lt;=Inversiones!$E$7,$B$6*Inversiones!$F$7,0)</f>
        <v>16000</v>
      </c>
      <c r="D6" s="19" t="n">
        <f aca="false">IF(2&lt;=Inversiones!$E$7,$B$6*Inversiones!$F$7,0)</f>
        <v>16000</v>
      </c>
      <c r="E6" s="19" t="n">
        <f aca="false">IF(3&lt;=Inversiones!$E$7,$B$6*Inversiones!$F$7,0)</f>
        <v>16000</v>
      </c>
      <c r="F6" s="19" t="n">
        <f aca="false">IF(4&lt;=Inversiones!$E$7,$B$6*Inversiones!$F$7,0)</f>
        <v>16000</v>
      </c>
      <c r="G6" s="19" t="n">
        <f aca="false">IF(5&lt;=Inversiones!$E$7,$B$6*Inversiones!$F$7,0)</f>
        <v>16000</v>
      </c>
      <c r="H6" s="19" t="n">
        <f aca="false">IF(6&lt;=Inversiones!$E$7,$B$6*Inversiones!$F$7,0)</f>
        <v>16000</v>
      </c>
      <c r="I6" s="19" t="n">
        <f aca="false">IF(7&lt;=Inversiones!$E$7,$B$6*Inversiones!$F$7,0)</f>
        <v>16000</v>
      </c>
      <c r="J6" s="19" t="n">
        <f aca="false">IF(8&lt;=Inversiones!$E$7,$B$6*Inversiones!$F$7,0)</f>
        <v>16000</v>
      </c>
      <c r="K6" s="19" t="n">
        <f aca="false">IF(9&lt;=Inversiones!$E$7,$B$6*Inversiones!$F$7,0)</f>
        <v>16000</v>
      </c>
      <c r="L6" s="19" t="n">
        <f aca="false">IF(10&lt;=Inversiones!$E$7,$B$6*Inversiones!$F$7,0)</f>
        <v>16000</v>
      </c>
    </row>
    <row r="7" customFormat="false" ht="15" hidden="false" customHeight="false" outlineLevel="0" collapsed="false">
      <c r="A7" s="6" t="str">
        <f aca="false">Inversiones!A8</f>
        <v>Maquinaria y equipo de proceso</v>
      </c>
      <c r="B7" s="24" t="n">
        <f aca="false">Inversiones!D8</f>
        <v>420000</v>
      </c>
      <c r="C7" s="19" t="n">
        <f aca="false">IF(1&lt;=Inversiones!$E$8,$B$7*Inversiones!$F$8,0)</f>
        <v>42000</v>
      </c>
      <c r="D7" s="19" t="n">
        <f aca="false">IF(2&lt;=Inversiones!$E$8,$B$7*Inversiones!$F$8,0)</f>
        <v>42000</v>
      </c>
      <c r="E7" s="19" t="n">
        <f aca="false">IF(3&lt;=Inversiones!$E$8,$B$7*Inversiones!$F$8,0)</f>
        <v>42000</v>
      </c>
      <c r="F7" s="19" t="n">
        <f aca="false">IF(4&lt;=Inversiones!$E$8,$B$7*Inversiones!$F$8,0)</f>
        <v>42000</v>
      </c>
      <c r="G7" s="19" t="n">
        <f aca="false">IF(5&lt;=Inversiones!$E$8,$B$7*Inversiones!$F$8,0)</f>
        <v>42000</v>
      </c>
      <c r="H7" s="19" t="n">
        <f aca="false">IF(6&lt;=Inversiones!$E$8,$B$7*Inversiones!$F$8,0)</f>
        <v>42000</v>
      </c>
      <c r="I7" s="19" t="n">
        <f aca="false">IF(7&lt;=Inversiones!$E$8,$B$7*Inversiones!$F$8,0)</f>
        <v>42000</v>
      </c>
      <c r="J7" s="19" t="n">
        <f aca="false">IF(8&lt;=Inversiones!$E$8,$B$7*Inversiones!$F$8,0)</f>
        <v>42000</v>
      </c>
      <c r="K7" s="19" t="n">
        <f aca="false">IF(9&lt;=Inversiones!$E$8,$B$7*Inversiones!$F$8,0)</f>
        <v>42000</v>
      </c>
      <c r="L7" s="19" t="n">
        <f aca="false">IF(10&lt;=Inversiones!$E$8,$B$7*Inversiones!$F$8,0)</f>
        <v>42000</v>
      </c>
    </row>
    <row r="8" customFormat="false" ht="15" hidden="false" customHeight="false" outlineLevel="0" collapsed="false">
      <c r="A8" s="6" t="str">
        <f aca="false">Inversiones!A9</f>
        <v>Cámara de frío y sistema de refrigeración</v>
      </c>
      <c r="B8" s="24" t="n">
        <f aca="false">Inversiones!D9</f>
        <v>95000</v>
      </c>
      <c r="C8" s="19" t="n">
        <f aca="false">IF(1&lt;=Inversiones!$E$9,$B$8*Inversiones!$F$9,0)</f>
        <v>9500</v>
      </c>
      <c r="D8" s="19" t="n">
        <f aca="false">IF(2&lt;=Inversiones!$E$9,$B$8*Inversiones!$F$9,0)</f>
        <v>9500</v>
      </c>
      <c r="E8" s="19" t="n">
        <f aca="false">IF(3&lt;=Inversiones!$E$9,$B$8*Inversiones!$F$9,0)</f>
        <v>9500</v>
      </c>
      <c r="F8" s="19" t="n">
        <f aca="false">IF(4&lt;=Inversiones!$E$9,$B$8*Inversiones!$F$9,0)</f>
        <v>9500</v>
      </c>
      <c r="G8" s="19" t="n">
        <f aca="false">IF(5&lt;=Inversiones!$E$9,$B$8*Inversiones!$F$9,0)</f>
        <v>9500</v>
      </c>
      <c r="H8" s="19" t="n">
        <f aca="false">IF(6&lt;=Inversiones!$E$9,$B$8*Inversiones!$F$9,0)</f>
        <v>9500</v>
      </c>
      <c r="I8" s="19" t="n">
        <f aca="false">IF(7&lt;=Inversiones!$E$9,$B$8*Inversiones!$F$9,0)</f>
        <v>9500</v>
      </c>
      <c r="J8" s="19" t="n">
        <f aca="false">IF(8&lt;=Inversiones!$E$9,$B$8*Inversiones!$F$9,0)</f>
        <v>9500</v>
      </c>
      <c r="K8" s="19" t="n">
        <f aca="false">IF(9&lt;=Inversiones!$E$9,$B$8*Inversiones!$F$9,0)</f>
        <v>9500</v>
      </c>
      <c r="L8" s="19" t="n">
        <f aca="false">IF(10&lt;=Inversiones!$E$9,$B$8*Inversiones!$F$9,0)</f>
        <v>9500</v>
      </c>
    </row>
    <row r="9" customFormat="false" ht="15" hidden="false" customHeight="false" outlineLevel="0" collapsed="false">
      <c r="A9" s="6" t="str">
        <f aca="false">Inversiones!A10</f>
        <v>Equipos de laboratorio y control de calidad</v>
      </c>
      <c r="B9" s="24" t="n">
        <f aca="false">Inversiones!D10</f>
        <v>45000</v>
      </c>
      <c r="C9" s="19" t="n">
        <f aca="false">IF(1&lt;=Inversiones!$E$10,$B$9*Inversiones!$F$10,0)</f>
        <v>4500</v>
      </c>
      <c r="D9" s="19" t="n">
        <f aca="false">IF(2&lt;=Inversiones!$E$10,$B$9*Inversiones!$F$10,0)</f>
        <v>4500</v>
      </c>
      <c r="E9" s="19" t="n">
        <f aca="false">IF(3&lt;=Inversiones!$E$10,$B$9*Inversiones!$F$10,0)</f>
        <v>4500</v>
      </c>
      <c r="F9" s="19" t="n">
        <f aca="false">IF(4&lt;=Inversiones!$E$10,$B$9*Inversiones!$F$10,0)</f>
        <v>4500</v>
      </c>
      <c r="G9" s="19" t="n">
        <f aca="false">IF(5&lt;=Inversiones!$E$10,$B$9*Inversiones!$F$10,0)</f>
        <v>4500</v>
      </c>
      <c r="H9" s="19" t="n">
        <f aca="false">IF(6&lt;=Inversiones!$E$10,$B$9*Inversiones!$F$10,0)</f>
        <v>4500</v>
      </c>
      <c r="I9" s="19" t="n">
        <f aca="false">IF(7&lt;=Inversiones!$E$10,$B$9*Inversiones!$F$10,0)</f>
        <v>4500</v>
      </c>
      <c r="J9" s="19" t="n">
        <f aca="false">IF(8&lt;=Inversiones!$E$10,$B$9*Inversiones!$F$10,0)</f>
        <v>4500</v>
      </c>
      <c r="K9" s="19" t="n">
        <f aca="false">IF(9&lt;=Inversiones!$E$10,$B$9*Inversiones!$F$10,0)</f>
        <v>4500</v>
      </c>
      <c r="L9" s="19" t="n">
        <f aca="false">IF(10&lt;=Inversiones!$E$10,$B$9*Inversiones!$F$10,0)</f>
        <v>4500</v>
      </c>
    </row>
    <row r="10" customFormat="false" ht="15" hidden="false" customHeight="false" outlineLevel="0" collapsed="false">
      <c r="A10" s="6" t="str">
        <f aca="false">Inversiones!A11</f>
        <v>Muebles y enseres</v>
      </c>
      <c r="B10" s="24" t="n">
        <f aca="false">Inversiones!D11</f>
        <v>25000</v>
      </c>
      <c r="C10" s="19" t="n">
        <f aca="false">IF(1&lt;=Inversiones!$E$11,$B$10*Inversiones!$F$11,0)</f>
        <v>2500</v>
      </c>
      <c r="D10" s="19" t="n">
        <f aca="false">IF(2&lt;=Inversiones!$E$11,$B$10*Inversiones!$F$11,0)</f>
        <v>2500</v>
      </c>
      <c r="E10" s="19" t="n">
        <f aca="false">IF(3&lt;=Inversiones!$E$11,$B$10*Inversiones!$F$11,0)</f>
        <v>2500</v>
      </c>
      <c r="F10" s="19" t="n">
        <f aca="false">IF(4&lt;=Inversiones!$E$11,$B$10*Inversiones!$F$11,0)</f>
        <v>2500</v>
      </c>
      <c r="G10" s="19" t="n">
        <f aca="false">IF(5&lt;=Inversiones!$E$11,$B$10*Inversiones!$F$11,0)</f>
        <v>2500</v>
      </c>
      <c r="H10" s="19" t="n">
        <f aca="false">IF(6&lt;=Inversiones!$E$11,$B$10*Inversiones!$F$11,0)</f>
        <v>2500</v>
      </c>
      <c r="I10" s="19" t="n">
        <f aca="false">IF(7&lt;=Inversiones!$E$11,$B$10*Inversiones!$F$11,0)</f>
        <v>2500</v>
      </c>
      <c r="J10" s="19" t="n">
        <f aca="false">IF(8&lt;=Inversiones!$E$11,$B$10*Inversiones!$F$11,0)</f>
        <v>2500</v>
      </c>
      <c r="K10" s="19" t="n">
        <f aca="false">IF(9&lt;=Inversiones!$E$11,$B$10*Inversiones!$F$11,0)</f>
        <v>2500</v>
      </c>
      <c r="L10" s="19" t="n">
        <f aca="false">IF(10&lt;=Inversiones!$E$11,$B$10*Inversiones!$F$11,0)</f>
        <v>2500</v>
      </c>
    </row>
    <row r="11" customFormat="false" ht="15" hidden="false" customHeight="false" outlineLevel="0" collapsed="false">
      <c r="A11" s="6" t="str">
        <f aca="false">Inversiones!A12</f>
        <v>Equipos de cómputo</v>
      </c>
      <c r="B11" s="24" t="n">
        <f aca="false">Inversiones!D12</f>
        <v>18000</v>
      </c>
      <c r="C11" s="19" t="n">
        <f aca="false">IF(1&lt;=Inversiones!$E$12,$B$11*Inversiones!$F$12,0)</f>
        <v>4500</v>
      </c>
      <c r="D11" s="19" t="n">
        <f aca="false">IF(2&lt;=Inversiones!$E$12,$B$11*Inversiones!$F$12,0)</f>
        <v>4500</v>
      </c>
      <c r="E11" s="19" t="n">
        <f aca="false">IF(3&lt;=Inversiones!$E$12,$B$11*Inversiones!$F$12,0)</f>
        <v>4500</v>
      </c>
      <c r="F11" s="19" t="n">
        <f aca="false">IF(4&lt;=Inversiones!$E$12,$B$11*Inversiones!$F$12,0)</f>
        <v>4500</v>
      </c>
      <c r="G11" s="19" t="n">
        <f aca="false">IF(5&lt;=Inversiones!$E$12,$B$11*Inversiones!$F$12,0)</f>
        <v>0</v>
      </c>
      <c r="H11" s="19" t="n">
        <f aca="false">IF(6&lt;=Inversiones!$E$12,$B$11*Inversiones!$F$12,0)</f>
        <v>0</v>
      </c>
      <c r="I11" s="19" t="n">
        <f aca="false">IF(7&lt;=Inversiones!$E$12,$B$11*Inversiones!$F$12,0)</f>
        <v>0</v>
      </c>
      <c r="J11" s="19" t="n">
        <f aca="false">IF(8&lt;=Inversiones!$E$12,$B$11*Inversiones!$F$12,0)</f>
        <v>0</v>
      </c>
      <c r="K11" s="19" t="n">
        <f aca="false">IF(9&lt;=Inversiones!$E$12,$B$11*Inversiones!$F$12,0)</f>
        <v>0</v>
      </c>
      <c r="L11" s="19" t="n">
        <f aca="false">IF(10&lt;=Inversiones!$E$12,$B$11*Inversiones!$F$12,0)</f>
        <v>0</v>
      </c>
    </row>
    <row r="12" customFormat="false" ht="15" hidden="false" customHeight="false" outlineLevel="0" collapsed="false">
      <c r="A12" s="6" t="str">
        <f aca="false">Inversiones!A13</f>
        <v>Vehículo de distribución</v>
      </c>
      <c r="B12" s="24" t="n">
        <f aca="false">Inversiones!D13</f>
        <v>85000</v>
      </c>
      <c r="C12" s="19" t="n">
        <f aca="false">IF(1&lt;=Inversiones!$E$13,$B$12*Inversiones!$F$13,0)</f>
        <v>17000</v>
      </c>
      <c r="D12" s="19" t="n">
        <f aca="false">IF(2&lt;=Inversiones!$E$13,$B$12*Inversiones!$F$13,0)</f>
        <v>17000</v>
      </c>
      <c r="E12" s="19" t="n">
        <f aca="false">IF(3&lt;=Inversiones!$E$13,$B$12*Inversiones!$F$13,0)</f>
        <v>17000</v>
      </c>
      <c r="F12" s="19" t="n">
        <f aca="false">IF(4&lt;=Inversiones!$E$13,$B$12*Inversiones!$F$13,0)</f>
        <v>17000</v>
      </c>
      <c r="G12" s="19" t="n">
        <f aca="false">IF(5&lt;=Inversiones!$E$13,$B$12*Inversiones!$F$13,0)</f>
        <v>17000</v>
      </c>
      <c r="H12" s="19" t="n">
        <f aca="false">IF(6&lt;=Inversiones!$E$13,$B$12*Inversiones!$F$13,0)</f>
        <v>0</v>
      </c>
      <c r="I12" s="19" t="n">
        <f aca="false">IF(7&lt;=Inversiones!$E$13,$B$12*Inversiones!$F$13,0)</f>
        <v>0</v>
      </c>
      <c r="J12" s="19" t="n">
        <f aca="false">IF(8&lt;=Inversiones!$E$13,$B$12*Inversiones!$F$13,0)</f>
        <v>0</v>
      </c>
      <c r="K12" s="19" t="n">
        <f aca="false">IF(9&lt;=Inversiones!$E$13,$B$12*Inversiones!$F$13,0)</f>
        <v>0</v>
      </c>
      <c r="L12" s="19" t="n">
        <f aca="false">IF(10&lt;=Inversiones!$E$13,$B$12*Inversiones!$F$13,0)</f>
        <v>0</v>
      </c>
    </row>
    <row r="13" customFormat="false" ht="15" hidden="false" customHeight="false" outlineLevel="0" collapsed="false">
      <c r="A13" s="7" t="s">
        <v>169</v>
      </c>
      <c r="B13" s="24" t="n">
        <f aca="false">Inversiones!$D$25</f>
        <v>82000</v>
      </c>
      <c r="C13" s="19" t="n">
        <f aca="false">IF(1&lt;=5,$B$13*0.2,0)</f>
        <v>16400</v>
      </c>
      <c r="D13" s="19" t="n">
        <f aca="false">IF(2&lt;=5,$B$13*0.2,0)</f>
        <v>16400</v>
      </c>
      <c r="E13" s="19" t="n">
        <f aca="false">IF(3&lt;=5,$B$13*0.2,0)</f>
        <v>16400</v>
      </c>
      <c r="F13" s="19" t="n">
        <f aca="false">IF(4&lt;=5,$B$13*0.2,0)</f>
        <v>16400</v>
      </c>
      <c r="G13" s="19" t="n">
        <f aca="false">IF(5&lt;=5,$B$13*0.2,0)</f>
        <v>16400</v>
      </c>
      <c r="H13" s="19" t="n">
        <f aca="false">IF(6&lt;=5,$B$13*0.2,0)</f>
        <v>0</v>
      </c>
      <c r="I13" s="19" t="n">
        <f aca="false">IF(7&lt;=5,$B$13*0.2,0)</f>
        <v>0</v>
      </c>
      <c r="J13" s="19" t="n">
        <f aca="false">IF(8&lt;=5,$B$13*0.2,0)</f>
        <v>0</v>
      </c>
      <c r="K13" s="19" t="n">
        <f aca="false">IF(9&lt;=5,$B$13*0.2,0)</f>
        <v>0</v>
      </c>
      <c r="L13" s="19" t="n">
        <f aca="false">IF(10&lt;=5,$B$13*0.2,0)</f>
        <v>0</v>
      </c>
    </row>
    <row r="14" customFormat="false" ht="15" hidden="false" customHeight="false" outlineLevel="0" collapsed="false">
      <c r="A14" s="30" t="s">
        <v>170</v>
      </c>
      <c r="C14" s="21" t="n">
        <f aca="false">SUM(C5:C13)</f>
        <v>112400</v>
      </c>
      <c r="D14" s="21" t="n">
        <f aca="false">SUM(D5:D13)</f>
        <v>112400</v>
      </c>
      <c r="E14" s="21" t="n">
        <f aca="false">SUM(E5:E13)</f>
        <v>112400</v>
      </c>
      <c r="F14" s="21" t="n">
        <f aca="false">SUM(F5:F13)</f>
        <v>112400</v>
      </c>
      <c r="G14" s="21" t="n">
        <f aca="false">SUM(G5:G13)</f>
        <v>107900</v>
      </c>
      <c r="H14" s="21" t="n">
        <f aca="false">SUM(H5:H13)</f>
        <v>74500</v>
      </c>
      <c r="I14" s="21" t="n">
        <f aca="false">SUM(I5:I13)</f>
        <v>74500</v>
      </c>
      <c r="J14" s="21" t="n">
        <f aca="false">SUM(J5:J13)</f>
        <v>74500</v>
      </c>
      <c r="K14" s="21" t="n">
        <f aca="false">SUM(K5:K13)</f>
        <v>74500</v>
      </c>
      <c r="L14" s="21" t="n">
        <f aca="false">SUM(L5:L13)</f>
        <v>74500</v>
      </c>
    </row>
    <row r="16" customFormat="false" ht="15" hidden="false" customHeight="false" outlineLevel="0" collapsed="false">
      <c r="A16" s="10" t="s">
        <v>171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customFormat="false" ht="15" hidden="false" customHeight="false" outlineLevel="0" collapsed="false">
      <c r="A17" s="6" t="str">
        <f aca="false">Inversiones!A6</f>
        <v>Terreno</v>
      </c>
      <c r="B17" s="28" t="n">
        <f aca="false">B5-SUM(C5:L5)</f>
        <v>180000</v>
      </c>
      <c r="C17" s="2" t="s">
        <v>172</v>
      </c>
    </row>
    <row r="18" customFormat="false" ht="15" hidden="false" customHeight="false" outlineLevel="0" collapsed="false">
      <c r="A18" s="6" t="str">
        <f aca="false">Inversiones!A7</f>
        <v>Obras civiles y edificaciones</v>
      </c>
      <c r="B18" s="28" t="n">
        <f aca="false">B6-SUM(C6:L6)</f>
        <v>160000</v>
      </c>
      <c r="C18" s="2" t="s">
        <v>172</v>
      </c>
    </row>
    <row r="19" customFormat="false" ht="15" hidden="false" customHeight="false" outlineLevel="0" collapsed="false">
      <c r="A19" s="6" t="str">
        <f aca="false">Inversiones!A8</f>
        <v>Maquinaria y equipo de proceso</v>
      </c>
      <c r="B19" s="28" t="n">
        <f aca="false">B7-SUM(C7:L7)</f>
        <v>0</v>
      </c>
      <c r="C19" s="2" t="s">
        <v>172</v>
      </c>
    </row>
    <row r="20" customFormat="false" ht="15" hidden="false" customHeight="false" outlineLevel="0" collapsed="false">
      <c r="A20" s="6" t="str">
        <f aca="false">Inversiones!A9</f>
        <v>Cámara de frío y sistema de refrigeración</v>
      </c>
      <c r="B20" s="28" t="n">
        <f aca="false">B8-SUM(C8:L8)</f>
        <v>0</v>
      </c>
      <c r="C20" s="2" t="s">
        <v>172</v>
      </c>
    </row>
    <row r="21" customFormat="false" ht="15" hidden="false" customHeight="false" outlineLevel="0" collapsed="false">
      <c r="A21" s="6" t="str">
        <f aca="false">Inversiones!A10</f>
        <v>Equipos de laboratorio y control de calidad</v>
      </c>
      <c r="B21" s="28" t="n">
        <f aca="false">B9-SUM(C9:L9)</f>
        <v>0</v>
      </c>
      <c r="C21" s="2" t="s">
        <v>172</v>
      </c>
    </row>
    <row r="22" customFormat="false" ht="15" hidden="false" customHeight="false" outlineLevel="0" collapsed="false">
      <c r="A22" s="6" t="str">
        <f aca="false">Inversiones!A11</f>
        <v>Muebles y enseres</v>
      </c>
      <c r="B22" s="28" t="n">
        <f aca="false">B10-SUM(C10:L10)</f>
        <v>0</v>
      </c>
      <c r="C22" s="2" t="s">
        <v>172</v>
      </c>
    </row>
    <row r="23" customFormat="false" ht="15" hidden="false" customHeight="false" outlineLevel="0" collapsed="false">
      <c r="A23" s="6" t="str">
        <f aca="false">Inversiones!A12</f>
        <v>Equipos de cómputo</v>
      </c>
      <c r="B23" s="28" t="n">
        <f aca="false">B11-SUM(C11:L11)</f>
        <v>0</v>
      </c>
      <c r="C23" s="2" t="s">
        <v>172</v>
      </c>
    </row>
    <row r="24" customFormat="false" ht="15" hidden="false" customHeight="false" outlineLevel="0" collapsed="false">
      <c r="A24" s="6" t="str">
        <f aca="false">Inversiones!A13</f>
        <v>Vehículo de distribución</v>
      </c>
      <c r="B24" s="28" t="n">
        <f aca="false">B12-SUM(C12:L12)</f>
        <v>0</v>
      </c>
      <c r="C24" s="2" t="s">
        <v>172</v>
      </c>
    </row>
    <row r="25" customFormat="false" ht="15" hidden="false" customHeight="false" outlineLevel="0" collapsed="false">
      <c r="A25" s="20" t="s">
        <v>173</v>
      </c>
      <c r="B25" s="21" t="n">
        <f aca="false">SUM(B17:B24)</f>
        <v>340000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9" t="s">
        <v>174</v>
      </c>
    </row>
    <row r="2" customFormat="false" ht="15" hidden="false" customHeight="false" outlineLevel="0" collapsed="false">
      <c r="A2" s="2" t="s">
        <v>175</v>
      </c>
    </row>
    <row r="4" customFormat="false" ht="15" hidden="false" customHeight="false" outlineLevel="0" collapsed="false">
      <c r="A4" s="7" t="s">
        <v>176</v>
      </c>
      <c r="B4" s="31" t="n">
        <f aca="false">Inversiones!$D$37</f>
        <v>1179233.72727273</v>
      </c>
    </row>
    <row r="5" customFormat="false" ht="15" hidden="false" customHeight="false" outlineLevel="0" collapsed="false">
      <c r="A5" s="7" t="s">
        <v>177</v>
      </c>
      <c r="B5" s="32" t="n">
        <f aca="false">Supuestos!$B$51</f>
        <v>0.14</v>
      </c>
    </row>
    <row r="6" customFormat="false" ht="15" hidden="false" customHeight="false" outlineLevel="0" collapsed="false">
      <c r="A6" s="7" t="s">
        <v>178</v>
      </c>
      <c r="B6" s="33" t="n">
        <f aca="false">Supuestos!$B$52</f>
        <v>5</v>
      </c>
    </row>
    <row r="7" customFormat="false" ht="15" hidden="false" customHeight="false" outlineLevel="0" collapsed="false">
      <c r="A7" s="3" t="s">
        <v>179</v>
      </c>
      <c r="B7" s="34" t="n">
        <f aca="false">-PMT($B$5,$B$6,$B$4)</f>
        <v>343491.382221852</v>
      </c>
    </row>
    <row r="9" customFormat="false" ht="15" hidden="false" customHeight="false" outlineLevel="0" collapsed="false">
      <c r="A9" s="10" t="s">
        <v>180</v>
      </c>
      <c r="B9" s="10" t="s">
        <v>181</v>
      </c>
      <c r="C9" s="10" t="s">
        <v>182</v>
      </c>
      <c r="D9" s="10" t="s">
        <v>183</v>
      </c>
      <c r="E9" s="10" t="s">
        <v>184</v>
      </c>
      <c r="F9" s="10" t="s">
        <v>185</v>
      </c>
    </row>
    <row r="10" customFormat="false" ht="15" hidden="false" customHeight="false" outlineLevel="0" collapsed="false">
      <c r="A10" s="7" t="n">
        <v>1</v>
      </c>
      <c r="B10" s="19" t="n">
        <f aca="false">$B$4</f>
        <v>1179233.72727273</v>
      </c>
      <c r="C10" s="19" t="n">
        <f aca="false">B10*$B$5</f>
        <v>165092.721818182</v>
      </c>
      <c r="D10" s="19" t="n">
        <f aca="false">E10-C10</f>
        <v>178398.66040367</v>
      </c>
      <c r="E10" s="19" t="n">
        <f aca="false">IF(1&lt;=$B$6,$B$7,0)</f>
        <v>343491.382221852</v>
      </c>
      <c r="F10" s="19" t="n">
        <f aca="false">MAX(B10-D10,0)</f>
        <v>1000835.06686906</v>
      </c>
    </row>
    <row r="11" customFormat="false" ht="15" hidden="false" customHeight="false" outlineLevel="0" collapsed="false">
      <c r="A11" s="7" t="n">
        <v>2</v>
      </c>
      <c r="B11" s="19" t="n">
        <f aca="false">F10</f>
        <v>1000835.06686906</v>
      </c>
      <c r="C11" s="19" t="n">
        <f aca="false">B11*$B$5</f>
        <v>140116.909361668</v>
      </c>
      <c r="D11" s="19" t="n">
        <f aca="false">E11-C11</f>
        <v>203374.472860184</v>
      </c>
      <c r="E11" s="19" t="n">
        <f aca="false">IF(2&lt;=$B$6,$B$7,0)</f>
        <v>343491.382221852</v>
      </c>
      <c r="F11" s="19" t="n">
        <f aca="false">MAX(B11-D11,0)</f>
        <v>797460.594008873</v>
      </c>
    </row>
    <row r="12" customFormat="false" ht="15" hidden="false" customHeight="false" outlineLevel="0" collapsed="false">
      <c r="A12" s="7" t="n">
        <v>3</v>
      </c>
      <c r="B12" s="19" t="n">
        <f aca="false">F11</f>
        <v>797460.594008873</v>
      </c>
      <c r="C12" s="19" t="n">
        <f aca="false">B12*$B$5</f>
        <v>111644.483161242</v>
      </c>
      <c r="D12" s="19" t="n">
        <f aca="false">E12-C12</f>
        <v>231846.89906061</v>
      </c>
      <c r="E12" s="19" t="n">
        <f aca="false">IF(3&lt;=$B$6,$B$7,0)</f>
        <v>343491.382221852</v>
      </c>
      <c r="F12" s="19" t="n">
        <f aca="false">MAX(B12-D12,0)</f>
        <v>565613.694948264</v>
      </c>
    </row>
    <row r="13" customFormat="false" ht="15" hidden="false" customHeight="false" outlineLevel="0" collapsed="false">
      <c r="A13" s="7" t="n">
        <v>4</v>
      </c>
      <c r="B13" s="19" t="n">
        <f aca="false">F12</f>
        <v>565613.694948264</v>
      </c>
      <c r="C13" s="19" t="n">
        <f aca="false">B13*$B$5</f>
        <v>79185.9172927569</v>
      </c>
      <c r="D13" s="19" t="n">
        <f aca="false">E13-C13</f>
        <v>264305.464929095</v>
      </c>
      <c r="E13" s="19" t="n">
        <f aca="false">IF(4&lt;=$B$6,$B$7,0)</f>
        <v>343491.382221852</v>
      </c>
      <c r="F13" s="19" t="n">
        <f aca="false">MAX(B13-D13,0)</f>
        <v>301308.230019169</v>
      </c>
    </row>
    <row r="14" customFormat="false" ht="15" hidden="false" customHeight="false" outlineLevel="0" collapsed="false">
      <c r="A14" s="7" t="n">
        <v>5</v>
      </c>
      <c r="B14" s="19" t="n">
        <f aca="false">F13</f>
        <v>301308.230019169</v>
      </c>
      <c r="C14" s="19" t="n">
        <f aca="false">B14*$B$5</f>
        <v>42183.1522026836</v>
      </c>
      <c r="D14" s="19" t="n">
        <f aca="false">E14-C14</f>
        <v>301308.230019168</v>
      </c>
      <c r="E14" s="19" t="n">
        <f aca="false">IF(5&lt;=$B$6,$B$7,0)</f>
        <v>343491.382221852</v>
      </c>
      <c r="F14" s="19" t="n">
        <f aca="false">MAX(B14-D14,0)</f>
        <v>0</v>
      </c>
    </row>
    <row r="15" customFormat="false" ht="15" hidden="false" customHeight="false" outlineLevel="0" collapsed="false">
      <c r="A15" s="7" t="n">
        <v>6</v>
      </c>
      <c r="B15" s="19" t="n">
        <f aca="false">F14</f>
        <v>0</v>
      </c>
      <c r="C15" s="19" t="n">
        <f aca="false">B15*$B$5</f>
        <v>0</v>
      </c>
      <c r="D15" s="19" t="n">
        <f aca="false">E15-C15</f>
        <v>0</v>
      </c>
      <c r="E15" s="19" t="n">
        <f aca="false">IF(6&lt;=$B$6,$B$7,0)</f>
        <v>0</v>
      </c>
      <c r="F15" s="19" t="n">
        <f aca="false">MAX(B15-D15,0)</f>
        <v>0</v>
      </c>
    </row>
    <row r="16" customFormat="false" ht="15" hidden="false" customHeight="false" outlineLevel="0" collapsed="false">
      <c r="A16" s="7" t="n">
        <v>7</v>
      </c>
      <c r="B16" s="19" t="n">
        <f aca="false">F15</f>
        <v>0</v>
      </c>
      <c r="C16" s="19" t="n">
        <f aca="false">B16*$B$5</f>
        <v>0</v>
      </c>
      <c r="D16" s="19" t="n">
        <f aca="false">E16-C16</f>
        <v>0</v>
      </c>
      <c r="E16" s="19" t="n">
        <f aca="false">IF(7&lt;=$B$6,$B$7,0)</f>
        <v>0</v>
      </c>
      <c r="F16" s="19" t="n">
        <f aca="false">MAX(B16-D16,0)</f>
        <v>0</v>
      </c>
    </row>
    <row r="17" customFormat="false" ht="15" hidden="false" customHeight="false" outlineLevel="0" collapsed="false">
      <c r="A17" s="7" t="n">
        <v>8</v>
      </c>
      <c r="B17" s="19" t="n">
        <f aca="false">F16</f>
        <v>0</v>
      </c>
      <c r="C17" s="19" t="n">
        <f aca="false">B17*$B$5</f>
        <v>0</v>
      </c>
      <c r="D17" s="19" t="n">
        <f aca="false">E17-C17</f>
        <v>0</v>
      </c>
      <c r="E17" s="19" t="n">
        <f aca="false">IF(8&lt;=$B$6,$B$7,0)</f>
        <v>0</v>
      </c>
      <c r="F17" s="19" t="n">
        <f aca="false">MAX(B17-D17,0)</f>
        <v>0</v>
      </c>
    </row>
    <row r="18" customFormat="false" ht="15" hidden="false" customHeight="false" outlineLevel="0" collapsed="false">
      <c r="A18" s="7" t="n">
        <v>9</v>
      </c>
      <c r="B18" s="19" t="n">
        <f aca="false">F17</f>
        <v>0</v>
      </c>
      <c r="C18" s="19" t="n">
        <f aca="false">B18*$B$5</f>
        <v>0</v>
      </c>
      <c r="D18" s="19" t="n">
        <f aca="false">E18-C18</f>
        <v>0</v>
      </c>
      <c r="E18" s="19" t="n">
        <f aca="false">IF(9&lt;=$B$6,$B$7,0)</f>
        <v>0</v>
      </c>
      <c r="F18" s="19" t="n">
        <f aca="false">MAX(B18-D18,0)</f>
        <v>0</v>
      </c>
    </row>
    <row r="19" customFormat="false" ht="15" hidden="false" customHeight="false" outlineLevel="0" collapsed="false">
      <c r="A19" s="7" t="n">
        <v>10</v>
      </c>
      <c r="B19" s="19" t="n">
        <f aca="false">F18</f>
        <v>0</v>
      </c>
      <c r="C19" s="19" t="n">
        <f aca="false">B19*$B$5</f>
        <v>0</v>
      </c>
      <c r="D19" s="19" t="n">
        <f aca="false">E19-C19</f>
        <v>0</v>
      </c>
      <c r="E19" s="19" t="n">
        <f aca="false">IF(10&lt;=$B$6,$B$7,0)</f>
        <v>0</v>
      </c>
      <c r="F19" s="19" t="n">
        <f aca="false">MAX(B19-D19,0)</f>
        <v>0</v>
      </c>
    </row>
    <row r="20" customFormat="false" ht="15" hidden="false" customHeight="false" outlineLevel="0" collapsed="false">
      <c r="A20" s="20" t="s">
        <v>165</v>
      </c>
      <c r="C20" s="21" t="n">
        <f aca="false">SUM(C10:C19)</f>
        <v>538223.183836533</v>
      </c>
      <c r="D20" s="21" t="n">
        <f aca="false">SUM(D10:D19)</f>
        <v>1179233.72727273</v>
      </c>
      <c r="E20" s="21" t="n">
        <f aca="false">SUM(E10:E19)</f>
        <v>1717456.91110926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12" min="3" style="0" width="13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9" t="s">
        <v>186</v>
      </c>
    </row>
    <row r="2" customFormat="false" ht="15" hidden="false" customHeight="false" outlineLevel="0" collapsed="false">
      <c r="A2" s="2" t="s">
        <v>187</v>
      </c>
    </row>
    <row r="4" customFormat="false" ht="15" hidden="false" customHeight="false" outlineLevel="0" collapsed="false">
      <c r="A4" s="10" t="s">
        <v>108</v>
      </c>
      <c r="B4" s="10" t="s">
        <v>109</v>
      </c>
      <c r="C4" s="22" t="s">
        <v>110</v>
      </c>
      <c r="D4" s="22" t="s">
        <v>111</v>
      </c>
      <c r="E4" s="22" t="s">
        <v>112</v>
      </c>
      <c r="F4" s="22" t="s">
        <v>113</v>
      </c>
      <c r="G4" s="22" t="s">
        <v>114</v>
      </c>
      <c r="H4" s="22" t="s">
        <v>115</v>
      </c>
      <c r="I4" s="22" t="s">
        <v>116</v>
      </c>
      <c r="J4" s="22" t="s">
        <v>117</v>
      </c>
      <c r="K4" s="22" t="s">
        <v>118</v>
      </c>
      <c r="L4" s="22" t="s">
        <v>119</v>
      </c>
    </row>
    <row r="5" customFormat="false" ht="15" hidden="false" customHeight="false" outlineLevel="0" collapsed="false">
      <c r="A5" s="10" t="s">
        <v>188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customFormat="false" ht="15" hidden="false" customHeight="false" outlineLevel="0" collapsed="false">
      <c r="A6" s="7" t="s">
        <v>189</v>
      </c>
      <c r="B6" s="2" t="s">
        <v>190</v>
      </c>
      <c r="C6" s="35" t="n">
        <f aca="false">Supuestos!$B$10*Supuestos!C$58</f>
        <v>432</v>
      </c>
      <c r="D6" s="35" t="n">
        <f aca="false">Supuestos!$B$10*Supuestos!D$58</f>
        <v>489.6</v>
      </c>
      <c r="E6" s="35" t="n">
        <f aca="false">Supuestos!$B$10*Supuestos!E$58</f>
        <v>540</v>
      </c>
      <c r="F6" s="35" t="n">
        <f aca="false">Supuestos!$B$10*Supuestos!F$58</f>
        <v>576</v>
      </c>
      <c r="G6" s="35" t="n">
        <f aca="false">Supuestos!$B$10*Supuestos!G$58</f>
        <v>612</v>
      </c>
      <c r="H6" s="35" t="n">
        <f aca="false">Supuestos!$B$10*Supuestos!H$58</f>
        <v>633.6</v>
      </c>
      <c r="I6" s="35" t="n">
        <f aca="false">Supuestos!$B$10*Supuestos!I$58</f>
        <v>648</v>
      </c>
      <c r="J6" s="35" t="n">
        <f aca="false">Supuestos!$B$10*Supuestos!J$58</f>
        <v>648</v>
      </c>
      <c r="K6" s="35" t="n">
        <f aca="false">Supuestos!$B$10*Supuestos!K$58</f>
        <v>648</v>
      </c>
      <c r="L6" s="35" t="n">
        <f aca="false">Supuestos!$B$10*Supuestos!L$58</f>
        <v>648</v>
      </c>
    </row>
    <row r="7" customFormat="false" ht="15" hidden="false" customHeight="false" outlineLevel="0" collapsed="false">
      <c r="A7" s="7" t="s">
        <v>191</v>
      </c>
      <c r="B7" s="2" t="s">
        <v>192</v>
      </c>
      <c r="C7" s="19" t="n">
        <f aca="false">C6*1000</f>
        <v>432000</v>
      </c>
      <c r="D7" s="19" t="n">
        <f aca="false">D6*1000</f>
        <v>489600</v>
      </c>
      <c r="E7" s="19" t="n">
        <f aca="false">E6*1000</f>
        <v>540000</v>
      </c>
      <c r="F7" s="19" t="n">
        <f aca="false">F6*1000</f>
        <v>576000</v>
      </c>
      <c r="G7" s="19" t="n">
        <f aca="false">G6*1000</f>
        <v>612000</v>
      </c>
      <c r="H7" s="19" t="n">
        <f aca="false">H6*1000</f>
        <v>633600</v>
      </c>
      <c r="I7" s="19" t="n">
        <f aca="false">I6*1000</f>
        <v>648000</v>
      </c>
      <c r="J7" s="19" t="n">
        <f aca="false">J6*1000</f>
        <v>648000</v>
      </c>
      <c r="K7" s="19" t="n">
        <f aca="false">K6*1000</f>
        <v>648000</v>
      </c>
      <c r="L7" s="19" t="n">
        <f aca="false">L6*1000</f>
        <v>648000</v>
      </c>
    </row>
    <row r="8" customFormat="false" ht="15" hidden="false" customHeight="false" outlineLevel="0" collapsed="false">
      <c r="A8" s="7" t="s">
        <v>193</v>
      </c>
      <c r="B8" s="2" t="s">
        <v>192</v>
      </c>
      <c r="C8" s="19" t="n">
        <f aca="false">C7/Supuestos!$B$13</f>
        <v>785454.545454545</v>
      </c>
      <c r="D8" s="19" t="n">
        <f aca="false">D7/Supuestos!$B$13</f>
        <v>890181.818181818</v>
      </c>
      <c r="E8" s="19" t="n">
        <f aca="false">E7/Supuestos!$B$13</f>
        <v>981818.181818182</v>
      </c>
      <c r="F8" s="19" t="n">
        <f aca="false">F7/Supuestos!$B$13</f>
        <v>1047272.72727273</v>
      </c>
      <c r="G8" s="19" t="n">
        <f aca="false">G7/Supuestos!$B$13</f>
        <v>1112727.27272727</v>
      </c>
      <c r="H8" s="19" t="n">
        <f aca="false">H7/Supuestos!$B$13</f>
        <v>1152000</v>
      </c>
      <c r="I8" s="19" t="n">
        <f aca="false">I7/Supuestos!$B$13</f>
        <v>1178181.81818182</v>
      </c>
      <c r="J8" s="19" t="n">
        <f aca="false">J7/Supuestos!$B$13</f>
        <v>1178181.81818182</v>
      </c>
      <c r="K8" s="19" t="n">
        <f aca="false">K7/Supuestos!$B$13</f>
        <v>1178181.81818182</v>
      </c>
      <c r="L8" s="19" t="n">
        <f aca="false">L7/Supuestos!$B$13</f>
        <v>1178181.81818182</v>
      </c>
    </row>
    <row r="9" customFormat="false" ht="15" hidden="false" customHeight="false" outlineLevel="0" collapsed="false">
      <c r="A9" s="7" t="s">
        <v>194</v>
      </c>
      <c r="B9" s="2" t="s">
        <v>195</v>
      </c>
      <c r="C9" s="36" t="n">
        <f aca="false">Supuestos!$B$11*(1+Supuestos!$B$12)^0</f>
        <v>8.5</v>
      </c>
      <c r="D9" s="36" t="n">
        <f aca="false">Supuestos!$B$11*(1+Supuestos!$B$12)^1</f>
        <v>8.5</v>
      </c>
      <c r="E9" s="36" t="n">
        <f aca="false">Supuestos!$B$11*(1+Supuestos!$B$12)^2</f>
        <v>8.5</v>
      </c>
      <c r="F9" s="36" t="n">
        <f aca="false">Supuestos!$B$11*(1+Supuestos!$B$12)^3</f>
        <v>8.5</v>
      </c>
      <c r="G9" s="36" t="n">
        <f aca="false">Supuestos!$B$11*(1+Supuestos!$B$12)^4</f>
        <v>8.5</v>
      </c>
      <c r="H9" s="36" t="n">
        <f aca="false">Supuestos!$B$11*(1+Supuestos!$B$12)^5</f>
        <v>8.5</v>
      </c>
      <c r="I9" s="36" t="n">
        <f aca="false">Supuestos!$B$11*(1+Supuestos!$B$12)^6</f>
        <v>8.5</v>
      </c>
      <c r="J9" s="36" t="n">
        <f aca="false">Supuestos!$B$11*(1+Supuestos!$B$12)^7</f>
        <v>8.5</v>
      </c>
      <c r="K9" s="36" t="n">
        <f aca="false">Supuestos!$B$11*(1+Supuestos!$B$12)^8</f>
        <v>8.5</v>
      </c>
      <c r="L9" s="36" t="n">
        <f aca="false">Supuestos!$B$11*(1+Supuestos!$B$12)^9</f>
        <v>8.5</v>
      </c>
    </row>
    <row r="11" customFormat="false" ht="15" hidden="false" customHeight="false" outlineLevel="0" collapsed="false">
      <c r="A11" s="10" t="s">
        <v>196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customFormat="false" ht="15" hidden="false" customHeight="false" outlineLevel="0" collapsed="false">
      <c r="A12" s="30" t="s">
        <v>197</v>
      </c>
      <c r="B12" s="37" t="s">
        <v>195</v>
      </c>
      <c r="C12" s="38" t="n">
        <f aca="false">C7*C9</f>
        <v>3672000</v>
      </c>
      <c r="D12" s="38" t="n">
        <f aca="false">D7*D9</f>
        <v>4161600</v>
      </c>
      <c r="E12" s="38" t="n">
        <f aca="false">E7*E9</f>
        <v>4590000</v>
      </c>
      <c r="F12" s="38" t="n">
        <f aca="false">F7*F9</f>
        <v>4896000</v>
      </c>
      <c r="G12" s="38" t="n">
        <f aca="false">G7*G9</f>
        <v>5202000</v>
      </c>
      <c r="H12" s="38" t="n">
        <f aca="false">H7*H9</f>
        <v>5385600</v>
      </c>
      <c r="I12" s="38" t="n">
        <f aca="false">I7*I9</f>
        <v>5508000</v>
      </c>
      <c r="J12" s="38" t="n">
        <f aca="false">J7*J9</f>
        <v>5508000</v>
      </c>
      <c r="K12" s="38" t="n">
        <f aca="false">K7*K9</f>
        <v>5508000</v>
      </c>
      <c r="L12" s="38" t="n">
        <f aca="false">L7*L9</f>
        <v>5508000</v>
      </c>
    </row>
    <row r="14" customFormat="false" ht="15" hidden="false" customHeight="false" outlineLevel="0" collapsed="false">
      <c r="A14" s="10" t="s">
        <v>198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customFormat="false" ht="15" hidden="false" customHeight="false" outlineLevel="0" collapsed="false">
      <c r="A15" s="7" t="s">
        <v>58</v>
      </c>
      <c r="B15" s="2" t="s">
        <v>195</v>
      </c>
      <c r="C15" s="19" t="n">
        <f aca="false">C8*Supuestos!$B$16</f>
        <v>1413818.18181818</v>
      </c>
      <c r="D15" s="19" t="n">
        <f aca="false">D8*Supuestos!$B$16</f>
        <v>1602327.27272727</v>
      </c>
      <c r="E15" s="19" t="n">
        <f aca="false">E8*Supuestos!$B$16</f>
        <v>1767272.72727273</v>
      </c>
      <c r="F15" s="19" t="n">
        <f aca="false">F8*Supuestos!$B$16</f>
        <v>1885090.90909091</v>
      </c>
      <c r="G15" s="19" t="n">
        <f aca="false">G8*Supuestos!$B$16</f>
        <v>2002909.09090909</v>
      </c>
      <c r="H15" s="19" t="n">
        <f aca="false">H8*Supuestos!$B$16</f>
        <v>2073600</v>
      </c>
      <c r="I15" s="19" t="n">
        <f aca="false">I8*Supuestos!$B$16</f>
        <v>2120727.27272727</v>
      </c>
      <c r="J15" s="19" t="n">
        <f aca="false">J8*Supuestos!$B$16</f>
        <v>2120727.27272727</v>
      </c>
      <c r="K15" s="19" t="n">
        <f aca="false">K8*Supuestos!$B$16</f>
        <v>2120727.27272727</v>
      </c>
      <c r="L15" s="19" t="n">
        <f aca="false">L8*Supuestos!$B$16</f>
        <v>2120727.27272727</v>
      </c>
    </row>
    <row r="16" customFormat="false" ht="15" hidden="false" customHeight="false" outlineLevel="0" collapsed="false">
      <c r="A16" s="7" t="s">
        <v>60</v>
      </c>
      <c r="B16" s="2" t="s">
        <v>195</v>
      </c>
      <c r="C16" s="19" t="n">
        <f aca="false">C7*Supuestos!$B$17</f>
        <v>151200</v>
      </c>
      <c r="D16" s="19" t="n">
        <f aca="false">D7*Supuestos!$B$17</f>
        <v>171360</v>
      </c>
      <c r="E16" s="19" t="n">
        <f aca="false">E7*Supuestos!$B$17</f>
        <v>189000</v>
      </c>
      <c r="F16" s="19" t="n">
        <f aca="false">F7*Supuestos!$B$17</f>
        <v>201600</v>
      </c>
      <c r="G16" s="19" t="n">
        <f aca="false">G7*Supuestos!$B$17</f>
        <v>214200</v>
      </c>
      <c r="H16" s="19" t="n">
        <f aca="false">H7*Supuestos!$B$17</f>
        <v>221760</v>
      </c>
      <c r="I16" s="19" t="n">
        <f aca="false">I7*Supuestos!$B$17</f>
        <v>226800</v>
      </c>
      <c r="J16" s="19" t="n">
        <f aca="false">J7*Supuestos!$B$17</f>
        <v>226800</v>
      </c>
      <c r="K16" s="19" t="n">
        <f aca="false">K7*Supuestos!$B$17</f>
        <v>226800</v>
      </c>
      <c r="L16" s="19" t="n">
        <f aca="false">L7*Supuestos!$B$17</f>
        <v>226800</v>
      </c>
    </row>
    <row r="17" customFormat="false" ht="15" hidden="false" customHeight="false" outlineLevel="0" collapsed="false">
      <c r="A17" s="7" t="s">
        <v>62</v>
      </c>
      <c r="B17" s="2" t="s">
        <v>195</v>
      </c>
      <c r="C17" s="19" t="n">
        <f aca="false">C7*Supuestos!$B$18</f>
        <v>259200</v>
      </c>
      <c r="D17" s="19" t="n">
        <f aca="false">D7*Supuestos!$B$18</f>
        <v>293760</v>
      </c>
      <c r="E17" s="19" t="n">
        <f aca="false">E7*Supuestos!$B$18</f>
        <v>324000</v>
      </c>
      <c r="F17" s="19" t="n">
        <f aca="false">F7*Supuestos!$B$18</f>
        <v>345600</v>
      </c>
      <c r="G17" s="19" t="n">
        <f aca="false">G7*Supuestos!$B$18</f>
        <v>367200</v>
      </c>
      <c r="H17" s="19" t="n">
        <f aca="false">H7*Supuestos!$B$18</f>
        <v>380160</v>
      </c>
      <c r="I17" s="19" t="n">
        <f aca="false">I7*Supuestos!$B$18</f>
        <v>388800</v>
      </c>
      <c r="J17" s="19" t="n">
        <f aca="false">J7*Supuestos!$B$18</f>
        <v>388800</v>
      </c>
      <c r="K17" s="19" t="n">
        <f aca="false">K7*Supuestos!$B$18</f>
        <v>388800</v>
      </c>
      <c r="L17" s="19" t="n">
        <f aca="false">L7*Supuestos!$B$18</f>
        <v>388800</v>
      </c>
    </row>
    <row r="18" customFormat="false" ht="15" hidden="false" customHeight="false" outlineLevel="0" collapsed="false">
      <c r="A18" s="7" t="s">
        <v>63</v>
      </c>
      <c r="B18" s="2" t="s">
        <v>195</v>
      </c>
      <c r="C18" s="19" t="n">
        <f aca="false">C7*Supuestos!$B$19</f>
        <v>95040</v>
      </c>
      <c r="D18" s="19" t="n">
        <f aca="false">D7*Supuestos!$B$19</f>
        <v>107712</v>
      </c>
      <c r="E18" s="19" t="n">
        <f aca="false">E7*Supuestos!$B$19</f>
        <v>118800</v>
      </c>
      <c r="F18" s="19" t="n">
        <f aca="false">F7*Supuestos!$B$19</f>
        <v>126720</v>
      </c>
      <c r="G18" s="19" t="n">
        <f aca="false">G7*Supuestos!$B$19</f>
        <v>134640</v>
      </c>
      <c r="H18" s="19" t="n">
        <f aca="false">H7*Supuestos!$B$19</f>
        <v>139392</v>
      </c>
      <c r="I18" s="19" t="n">
        <f aca="false">I7*Supuestos!$B$19</f>
        <v>142560</v>
      </c>
      <c r="J18" s="19" t="n">
        <f aca="false">J7*Supuestos!$B$19</f>
        <v>142560</v>
      </c>
      <c r="K18" s="19" t="n">
        <f aca="false">K7*Supuestos!$B$19</f>
        <v>142560</v>
      </c>
      <c r="L18" s="19" t="n">
        <f aca="false">L7*Supuestos!$B$19</f>
        <v>142560</v>
      </c>
    </row>
    <row r="19" customFormat="false" ht="15" hidden="false" customHeight="false" outlineLevel="0" collapsed="false">
      <c r="A19" s="7" t="s">
        <v>64</v>
      </c>
      <c r="B19" s="2" t="s">
        <v>195</v>
      </c>
      <c r="C19" s="19" t="n">
        <f aca="false">C7*Supuestos!$B$20</f>
        <v>77760</v>
      </c>
      <c r="D19" s="19" t="n">
        <f aca="false">D7*Supuestos!$B$20</f>
        <v>88128</v>
      </c>
      <c r="E19" s="19" t="n">
        <f aca="false">E7*Supuestos!$B$20</f>
        <v>97200</v>
      </c>
      <c r="F19" s="19" t="n">
        <f aca="false">F7*Supuestos!$B$20</f>
        <v>103680</v>
      </c>
      <c r="G19" s="19" t="n">
        <f aca="false">G7*Supuestos!$B$20</f>
        <v>110160</v>
      </c>
      <c r="H19" s="19" t="n">
        <f aca="false">H7*Supuestos!$B$20</f>
        <v>114048</v>
      </c>
      <c r="I19" s="19" t="n">
        <f aca="false">I7*Supuestos!$B$20</f>
        <v>116640</v>
      </c>
      <c r="J19" s="19" t="n">
        <f aca="false">J7*Supuestos!$B$20</f>
        <v>116640</v>
      </c>
      <c r="K19" s="19" t="n">
        <f aca="false">K7*Supuestos!$B$20</f>
        <v>116640</v>
      </c>
      <c r="L19" s="19" t="n">
        <f aca="false">L7*Supuestos!$B$20</f>
        <v>116640</v>
      </c>
    </row>
    <row r="20" customFormat="false" ht="15" hidden="false" customHeight="false" outlineLevel="0" collapsed="false">
      <c r="A20" s="30" t="s">
        <v>199</v>
      </c>
      <c r="B20" s="37" t="s">
        <v>195</v>
      </c>
      <c r="C20" s="38" t="n">
        <f aca="false">SUM(C15:C19)</f>
        <v>1997018.18181818</v>
      </c>
      <c r="D20" s="38" t="n">
        <f aca="false">SUM(D15:D19)</f>
        <v>2263287.27272727</v>
      </c>
      <c r="E20" s="38" t="n">
        <f aca="false">SUM(E15:E19)</f>
        <v>2496272.72727273</v>
      </c>
      <c r="F20" s="38" t="n">
        <f aca="false">SUM(F15:F19)</f>
        <v>2662690.90909091</v>
      </c>
      <c r="G20" s="38" t="n">
        <f aca="false">SUM(G15:G19)</f>
        <v>2829109.09090909</v>
      </c>
      <c r="H20" s="38" t="n">
        <f aca="false">SUM(H15:H19)</f>
        <v>2928960</v>
      </c>
      <c r="I20" s="38" t="n">
        <f aca="false">SUM(I15:I19)</f>
        <v>2995527.27272727</v>
      </c>
      <c r="J20" s="38" t="n">
        <f aca="false">SUM(J15:J19)</f>
        <v>2995527.27272727</v>
      </c>
      <c r="K20" s="38" t="n">
        <f aca="false">SUM(K15:K19)</f>
        <v>2995527.27272727</v>
      </c>
      <c r="L20" s="38" t="n">
        <f aca="false">SUM(L15:L19)</f>
        <v>2995527.27272727</v>
      </c>
    </row>
    <row r="22" customFormat="false" ht="15" hidden="false" customHeight="false" outlineLevel="0" collapsed="false">
      <c r="A22" s="10" t="s">
        <v>200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customFormat="false" ht="15" hidden="false" customHeight="false" outlineLevel="0" collapsed="false">
      <c r="A23" s="7" t="s">
        <v>201</v>
      </c>
      <c r="B23" s="2" t="s">
        <v>195</v>
      </c>
      <c r="C23" s="19" t="n">
        <f aca="false">SUMIFS(Supuestos!$E$26:$E$33,Supuestos!$B$26:$B$33,"Producción")</f>
        <v>428040</v>
      </c>
      <c r="D23" s="19" t="n">
        <f aca="false">SUMIFS(Supuestos!$E$26:$E$33,Supuestos!$B$26:$B$33,"Producción")</f>
        <v>428040</v>
      </c>
      <c r="E23" s="19" t="n">
        <f aca="false">SUMIFS(Supuestos!$E$26:$E$33,Supuestos!$B$26:$B$33,"Producción")</f>
        <v>428040</v>
      </c>
      <c r="F23" s="19" t="n">
        <f aca="false">SUMIFS(Supuestos!$E$26:$E$33,Supuestos!$B$26:$B$33,"Producción")</f>
        <v>428040</v>
      </c>
      <c r="G23" s="19" t="n">
        <f aca="false">SUMIFS(Supuestos!$E$26:$E$33,Supuestos!$B$26:$B$33,"Producción")</f>
        <v>428040</v>
      </c>
      <c r="H23" s="19" t="n">
        <f aca="false">SUMIFS(Supuestos!$E$26:$E$33,Supuestos!$B$26:$B$33,"Producción")</f>
        <v>428040</v>
      </c>
      <c r="I23" s="19" t="n">
        <f aca="false">SUMIFS(Supuestos!$E$26:$E$33,Supuestos!$B$26:$B$33,"Producción")</f>
        <v>428040</v>
      </c>
      <c r="J23" s="19" t="n">
        <f aca="false">SUMIFS(Supuestos!$E$26:$E$33,Supuestos!$B$26:$B$33,"Producción")</f>
        <v>428040</v>
      </c>
      <c r="K23" s="19" t="n">
        <f aca="false">SUMIFS(Supuestos!$E$26:$E$33,Supuestos!$B$26:$B$33,"Producción")</f>
        <v>428040</v>
      </c>
      <c r="L23" s="19" t="n">
        <f aca="false">SUMIFS(Supuestos!$E$26:$E$33,Supuestos!$B$26:$B$33,"Producción")</f>
        <v>428040</v>
      </c>
    </row>
    <row r="24" customFormat="false" ht="15" hidden="false" customHeight="false" outlineLevel="0" collapsed="false">
      <c r="A24" s="7" t="s">
        <v>202</v>
      </c>
      <c r="B24" s="2" t="s">
        <v>195</v>
      </c>
      <c r="C24" s="19" t="n">
        <f aca="false">Inversiones!$D$8*Supuestos!$B$37</f>
        <v>12600</v>
      </c>
      <c r="D24" s="19" t="n">
        <f aca="false">Inversiones!$D$8*Supuestos!$B$37</f>
        <v>12600</v>
      </c>
      <c r="E24" s="19" t="n">
        <f aca="false">Inversiones!$D$8*Supuestos!$B$37</f>
        <v>12600</v>
      </c>
      <c r="F24" s="19" t="n">
        <f aca="false">Inversiones!$D$8*Supuestos!$B$37</f>
        <v>12600</v>
      </c>
      <c r="G24" s="19" t="n">
        <f aca="false">Inversiones!$D$8*Supuestos!$B$37</f>
        <v>12600</v>
      </c>
      <c r="H24" s="19" t="n">
        <f aca="false">Inversiones!$D$8*Supuestos!$B$37</f>
        <v>12600</v>
      </c>
      <c r="I24" s="19" t="n">
        <f aca="false">Inversiones!$D$8*Supuestos!$B$37</f>
        <v>12600</v>
      </c>
      <c r="J24" s="19" t="n">
        <f aca="false">Inversiones!$D$8*Supuestos!$B$37</f>
        <v>12600</v>
      </c>
      <c r="K24" s="19" t="n">
        <f aca="false">Inversiones!$D$8*Supuestos!$B$37</f>
        <v>12600</v>
      </c>
      <c r="L24" s="19" t="n">
        <f aca="false">Inversiones!$D$8*Supuestos!$B$37</f>
        <v>12600</v>
      </c>
    </row>
    <row r="25" customFormat="false" ht="15" hidden="false" customHeight="false" outlineLevel="0" collapsed="false">
      <c r="A25" s="7" t="s">
        <v>92</v>
      </c>
      <c r="B25" s="2" t="s">
        <v>195</v>
      </c>
      <c r="C25" s="19" t="n">
        <f aca="false">Supuestos!$B$42</f>
        <v>18000</v>
      </c>
      <c r="D25" s="19" t="n">
        <f aca="false">Supuestos!$B$42</f>
        <v>18000</v>
      </c>
      <c r="E25" s="19" t="n">
        <f aca="false">Supuestos!$B$42</f>
        <v>18000</v>
      </c>
      <c r="F25" s="19" t="n">
        <f aca="false">Supuestos!$B$42</f>
        <v>18000</v>
      </c>
      <c r="G25" s="19" t="n">
        <f aca="false">Supuestos!$B$42</f>
        <v>18000</v>
      </c>
      <c r="H25" s="19" t="n">
        <f aca="false">Supuestos!$B$42</f>
        <v>18000</v>
      </c>
      <c r="I25" s="19" t="n">
        <f aca="false">Supuestos!$B$42</f>
        <v>18000</v>
      </c>
      <c r="J25" s="19" t="n">
        <f aca="false">Supuestos!$B$42</f>
        <v>18000</v>
      </c>
      <c r="K25" s="19" t="n">
        <f aca="false">Supuestos!$B$42</f>
        <v>18000</v>
      </c>
      <c r="L25" s="19" t="n">
        <f aca="false">Supuestos!$B$42</f>
        <v>18000</v>
      </c>
    </row>
    <row r="26" customFormat="false" ht="15" hidden="false" customHeight="false" outlineLevel="0" collapsed="false">
      <c r="A26" s="7" t="s">
        <v>203</v>
      </c>
      <c r="B26" s="2" t="s">
        <v>195</v>
      </c>
      <c r="C26" s="19" t="n">
        <f aca="false">SUMIFS(Supuestos!$E$26:$E$33,Supuestos!$B$26:$B$33,"Administración")</f>
        <v>118320</v>
      </c>
      <c r="D26" s="19" t="n">
        <f aca="false">SUMIFS(Supuestos!$E$26:$E$33,Supuestos!$B$26:$B$33,"Administración")</f>
        <v>118320</v>
      </c>
      <c r="E26" s="19" t="n">
        <f aca="false">SUMIFS(Supuestos!$E$26:$E$33,Supuestos!$B$26:$B$33,"Administración")</f>
        <v>118320</v>
      </c>
      <c r="F26" s="19" t="n">
        <f aca="false">SUMIFS(Supuestos!$E$26:$E$33,Supuestos!$B$26:$B$33,"Administración")</f>
        <v>118320</v>
      </c>
      <c r="G26" s="19" t="n">
        <f aca="false">SUMIFS(Supuestos!$E$26:$E$33,Supuestos!$B$26:$B$33,"Administración")</f>
        <v>118320</v>
      </c>
      <c r="H26" s="19" t="n">
        <f aca="false">SUMIFS(Supuestos!$E$26:$E$33,Supuestos!$B$26:$B$33,"Administración")</f>
        <v>118320</v>
      </c>
      <c r="I26" s="19" t="n">
        <f aca="false">SUMIFS(Supuestos!$E$26:$E$33,Supuestos!$B$26:$B$33,"Administración")</f>
        <v>118320</v>
      </c>
      <c r="J26" s="19" t="n">
        <f aca="false">SUMIFS(Supuestos!$E$26:$E$33,Supuestos!$B$26:$B$33,"Administración")</f>
        <v>118320</v>
      </c>
      <c r="K26" s="19" t="n">
        <f aca="false">SUMIFS(Supuestos!$E$26:$E$33,Supuestos!$B$26:$B$33,"Administración")</f>
        <v>118320</v>
      </c>
      <c r="L26" s="19" t="n">
        <f aca="false">SUMIFS(Supuestos!$E$26:$E$33,Supuestos!$B$26:$B$33,"Administración")</f>
        <v>118320</v>
      </c>
    </row>
    <row r="27" customFormat="false" ht="15" hidden="false" customHeight="false" outlineLevel="0" collapsed="false">
      <c r="A27" s="7" t="s">
        <v>204</v>
      </c>
      <c r="B27" s="2" t="s">
        <v>195</v>
      </c>
      <c r="C27" s="19" t="n">
        <f aca="false">Supuestos!$B$38</f>
        <v>24000</v>
      </c>
      <c r="D27" s="19" t="n">
        <f aca="false">Supuestos!$B$38</f>
        <v>24000</v>
      </c>
      <c r="E27" s="19" t="n">
        <f aca="false">Supuestos!$B$38</f>
        <v>24000</v>
      </c>
      <c r="F27" s="19" t="n">
        <f aca="false">Supuestos!$B$38</f>
        <v>24000</v>
      </c>
      <c r="G27" s="19" t="n">
        <f aca="false">Supuestos!$B$38</f>
        <v>24000</v>
      </c>
      <c r="H27" s="19" t="n">
        <f aca="false">Supuestos!$B$38</f>
        <v>24000</v>
      </c>
      <c r="I27" s="19" t="n">
        <f aca="false">Supuestos!$B$38</f>
        <v>24000</v>
      </c>
      <c r="J27" s="19" t="n">
        <f aca="false">Supuestos!$B$38</f>
        <v>24000</v>
      </c>
      <c r="K27" s="19" t="n">
        <f aca="false">Supuestos!$B$38</f>
        <v>24000</v>
      </c>
      <c r="L27" s="19" t="n">
        <f aca="false">Supuestos!$B$38</f>
        <v>24000</v>
      </c>
    </row>
    <row r="28" customFormat="false" ht="15" hidden="false" customHeight="false" outlineLevel="0" collapsed="false">
      <c r="A28" s="7" t="s">
        <v>205</v>
      </c>
      <c r="B28" s="2" t="s">
        <v>195</v>
      </c>
      <c r="C28" s="19" t="n">
        <f aca="false">Supuestos!$B$39</f>
        <v>12000</v>
      </c>
      <c r="D28" s="19" t="n">
        <f aca="false">Supuestos!$B$39</f>
        <v>12000</v>
      </c>
      <c r="E28" s="19" t="n">
        <f aca="false">Supuestos!$B$39</f>
        <v>12000</v>
      </c>
      <c r="F28" s="19" t="n">
        <f aca="false">Supuestos!$B$39</f>
        <v>12000</v>
      </c>
      <c r="G28" s="19" t="n">
        <f aca="false">Supuestos!$B$39</f>
        <v>12000</v>
      </c>
      <c r="H28" s="19" t="n">
        <f aca="false">Supuestos!$B$39</f>
        <v>12000</v>
      </c>
      <c r="I28" s="19" t="n">
        <f aca="false">Supuestos!$B$39</f>
        <v>12000</v>
      </c>
      <c r="J28" s="19" t="n">
        <f aca="false">Supuestos!$B$39</f>
        <v>12000</v>
      </c>
      <c r="K28" s="19" t="n">
        <f aca="false">Supuestos!$B$39</f>
        <v>12000</v>
      </c>
      <c r="L28" s="19" t="n">
        <f aca="false">Supuestos!$B$39</f>
        <v>12000</v>
      </c>
    </row>
    <row r="29" customFormat="false" ht="15" hidden="false" customHeight="false" outlineLevel="0" collapsed="false">
      <c r="A29" s="7" t="s">
        <v>90</v>
      </c>
      <c r="B29" s="2" t="s">
        <v>195</v>
      </c>
      <c r="C29" s="19" t="n">
        <f aca="false">Supuestos!$B$40</f>
        <v>15000</v>
      </c>
      <c r="D29" s="19" t="n">
        <f aca="false">Supuestos!$B$40</f>
        <v>15000</v>
      </c>
      <c r="E29" s="19" t="n">
        <f aca="false">Supuestos!$B$40</f>
        <v>15000</v>
      </c>
      <c r="F29" s="19" t="n">
        <f aca="false">Supuestos!$B$40</f>
        <v>15000</v>
      </c>
      <c r="G29" s="19" t="n">
        <f aca="false">Supuestos!$B$40</f>
        <v>15000</v>
      </c>
      <c r="H29" s="19" t="n">
        <f aca="false">Supuestos!$B$40</f>
        <v>15000</v>
      </c>
      <c r="I29" s="19" t="n">
        <f aca="false">Supuestos!$B$40</f>
        <v>15000</v>
      </c>
      <c r="J29" s="19" t="n">
        <f aca="false">Supuestos!$B$40</f>
        <v>15000</v>
      </c>
      <c r="K29" s="19" t="n">
        <f aca="false">Supuestos!$B$40</f>
        <v>15000</v>
      </c>
      <c r="L29" s="19" t="n">
        <f aca="false">Supuestos!$B$40</f>
        <v>15000</v>
      </c>
    </row>
    <row r="30" customFormat="false" ht="15" hidden="false" customHeight="false" outlineLevel="0" collapsed="false">
      <c r="A30" s="7" t="s">
        <v>93</v>
      </c>
      <c r="B30" s="2" t="s">
        <v>195</v>
      </c>
      <c r="C30" s="19" t="n">
        <f aca="false">Supuestos!$B$43</f>
        <v>10000</v>
      </c>
      <c r="D30" s="19" t="n">
        <f aca="false">Supuestos!$B$43</f>
        <v>10000</v>
      </c>
      <c r="E30" s="19" t="n">
        <f aca="false">Supuestos!$B$43</f>
        <v>10000</v>
      </c>
      <c r="F30" s="19" t="n">
        <f aca="false">Supuestos!$B$43</f>
        <v>10000</v>
      </c>
      <c r="G30" s="19" t="n">
        <f aca="false">Supuestos!$B$43</f>
        <v>10000</v>
      </c>
      <c r="H30" s="19" t="n">
        <f aca="false">Supuestos!$B$43</f>
        <v>10000</v>
      </c>
      <c r="I30" s="19" t="n">
        <f aca="false">Supuestos!$B$43</f>
        <v>10000</v>
      </c>
      <c r="J30" s="19" t="n">
        <f aca="false">Supuestos!$B$43</f>
        <v>10000</v>
      </c>
      <c r="K30" s="19" t="n">
        <f aca="false">Supuestos!$B$43</f>
        <v>10000</v>
      </c>
      <c r="L30" s="19" t="n">
        <f aca="false">Supuestos!$B$43</f>
        <v>10000</v>
      </c>
    </row>
    <row r="31" customFormat="false" ht="15" hidden="false" customHeight="false" outlineLevel="0" collapsed="false">
      <c r="A31" s="7" t="s">
        <v>206</v>
      </c>
      <c r="B31" s="2" t="s">
        <v>195</v>
      </c>
      <c r="C31" s="19" t="n">
        <f aca="false">SUMIFS(Supuestos!$E$26:$E$33,Supuestos!$B$26:$B$33,"Ventas")</f>
        <v>116580</v>
      </c>
      <c r="D31" s="19" t="n">
        <f aca="false">SUMIFS(Supuestos!$E$26:$E$33,Supuestos!$B$26:$B$33,"Ventas")</f>
        <v>116580</v>
      </c>
      <c r="E31" s="19" t="n">
        <f aca="false">SUMIFS(Supuestos!$E$26:$E$33,Supuestos!$B$26:$B$33,"Ventas")</f>
        <v>116580</v>
      </c>
      <c r="F31" s="19" t="n">
        <f aca="false">SUMIFS(Supuestos!$E$26:$E$33,Supuestos!$B$26:$B$33,"Ventas")</f>
        <v>116580</v>
      </c>
      <c r="G31" s="19" t="n">
        <f aca="false">SUMIFS(Supuestos!$E$26:$E$33,Supuestos!$B$26:$B$33,"Ventas")</f>
        <v>116580</v>
      </c>
      <c r="H31" s="19" t="n">
        <f aca="false">SUMIFS(Supuestos!$E$26:$E$33,Supuestos!$B$26:$B$33,"Ventas")</f>
        <v>116580</v>
      </c>
      <c r="I31" s="19" t="n">
        <f aca="false">SUMIFS(Supuestos!$E$26:$E$33,Supuestos!$B$26:$B$33,"Ventas")</f>
        <v>116580</v>
      </c>
      <c r="J31" s="19" t="n">
        <f aca="false">SUMIFS(Supuestos!$E$26:$E$33,Supuestos!$B$26:$B$33,"Ventas")</f>
        <v>116580</v>
      </c>
      <c r="K31" s="19" t="n">
        <f aca="false">SUMIFS(Supuestos!$E$26:$E$33,Supuestos!$B$26:$B$33,"Ventas")</f>
        <v>116580</v>
      </c>
      <c r="L31" s="19" t="n">
        <f aca="false">SUMIFS(Supuestos!$E$26:$E$33,Supuestos!$B$26:$B$33,"Ventas")</f>
        <v>116580</v>
      </c>
    </row>
    <row r="32" customFormat="false" ht="15" hidden="false" customHeight="false" outlineLevel="0" collapsed="false">
      <c r="A32" s="7" t="s">
        <v>91</v>
      </c>
      <c r="B32" s="2" t="s">
        <v>195</v>
      </c>
      <c r="C32" s="19" t="n">
        <f aca="false">Supuestos!$B$41</f>
        <v>30000</v>
      </c>
      <c r="D32" s="19" t="n">
        <f aca="false">Supuestos!$B$41</f>
        <v>30000</v>
      </c>
      <c r="E32" s="19" t="n">
        <f aca="false">Supuestos!$B$41</f>
        <v>30000</v>
      </c>
      <c r="F32" s="19" t="n">
        <f aca="false">Supuestos!$B$41</f>
        <v>30000</v>
      </c>
      <c r="G32" s="19" t="n">
        <f aca="false">Supuestos!$B$41</f>
        <v>30000</v>
      </c>
      <c r="H32" s="19" t="n">
        <f aca="false">Supuestos!$B$41</f>
        <v>30000</v>
      </c>
      <c r="I32" s="19" t="n">
        <f aca="false">Supuestos!$B$41</f>
        <v>30000</v>
      </c>
      <c r="J32" s="19" t="n">
        <f aca="false">Supuestos!$B$41</f>
        <v>30000</v>
      </c>
      <c r="K32" s="19" t="n">
        <f aca="false">Supuestos!$B$41</f>
        <v>30000</v>
      </c>
      <c r="L32" s="19" t="n">
        <f aca="false">Supuestos!$B$41</f>
        <v>30000</v>
      </c>
    </row>
    <row r="33" customFormat="false" ht="15" hidden="false" customHeight="false" outlineLevel="0" collapsed="false">
      <c r="A33" s="30" t="s">
        <v>207</v>
      </c>
      <c r="B33" s="37" t="s">
        <v>195</v>
      </c>
      <c r="C33" s="38" t="n">
        <f aca="false">SUM(C23:C32)</f>
        <v>784540</v>
      </c>
      <c r="D33" s="38" t="n">
        <f aca="false">SUM(D23:D32)</f>
        <v>784540</v>
      </c>
      <c r="E33" s="38" t="n">
        <f aca="false">SUM(E23:E32)</f>
        <v>784540</v>
      </c>
      <c r="F33" s="38" t="n">
        <f aca="false">SUM(F23:F32)</f>
        <v>784540</v>
      </c>
      <c r="G33" s="38" t="n">
        <f aca="false">SUM(G23:G32)</f>
        <v>784540</v>
      </c>
      <c r="H33" s="38" t="n">
        <f aca="false">SUM(H23:H32)</f>
        <v>784540</v>
      </c>
      <c r="I33" s="38" t="n">
        <f aca="false">SUM(I23:I32)</f>
        <v>784540</v>
      </c>
      <c r="J33" s="38" t="n">
        <f aca="false">SUM(J23:J32)</f>
        <v>784540</v>
      </c>
      <c r="K33" s="38" t="n">
        <f aca="false">SUM(K23:K32)</f>
        <v>784540</v>
      </c>
      <c r="L33" s="38" t="n">
        <f aca="false">SUM(L23:L32)</f>
        <v>784540</v>
      </c>
    </row>
    <row r="35" customFormat="false" ht="15" hidden="false" customHeight="false" outlineLevel="0" collapsed="false">
      <c r="A35" s="10" t="s">
        <v>208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customFormat="false" ht="15" hidden="false" customHeight="false" outlineLevel="0" collapsed="false">
      <c r="A36" s="7" t="s">
        <v>209</v>
      </c>
      <c r="B36" s="2" t="s">
        <v>195</v>
      </c>
      <c r="C36" s="19" t="n">
        <f aca="false">C20+SUM(C23:C25)</f>
        <v>2455658.18181818</v>
      </c>
      <c r="D36" s="19" t="n">
        <f aca="false">D20+SUM(D23:D25)</f>
        <v>2721927.27272727</v>
      </c>
      <c r="E36" s="19" t="n">
        <f aca="false">E20+SUM(E23:E25)</f>
        <v>2954912.72727273</v>
      </c>
      <c r="F36" s="19" t="n">
        <f aca="false">F20+SUM(F23:F25)</f>
        <v>3121330.90909091</v>
      </c>
      <c r="G36" s="19" t="n">
        <f aca="false">G20+SUM(G23:G25)</f>
        <v>3287749.09090909</v>
      </c>
      <c r="H36" s="19" t="n">
        <f aca="false">H20+SUM(H23:H25)</f>
        <v>3387600</v>
      </c>
      <c r="I36" s="19" t="n">
        <f aca="false">I20+SUM(I23:I25)</f>
        <v>3454167.27272727</v>
      </c>
      <c r="J36" s="19" t="n">
        <f aca="false">J20+SUM(J23:J25)</f>
        <v>3454167.27272727</v>
      </c>
      <c r="K36" s="19" t="n">
        <f aca="false">K20+SUM(K23:K25)</f>
        <v>3454167.27272727</v>
      </c>
      <c r="L36" s="19" t="n">
        <f aca="false">L20+SUM(L23:L25)</f>
        <v>3454167.27272727</v>
      </c>
    </row>
    <row r="37" customFormat="false" ht="15" hidden="false" customHeight="false" outlineLevel="0" collapsed="false">
      <c r="A37" s="7" t="s">
        <v>210</v>
      </c>
      <c r="B37" s="2" t="s">
        <v>195</v>
      </c>
      <c r="C37" s="19" t="n">
        <f aca="false">SUM(C26:C30)</f>
        <v>179320</v>
      </c>
      <c r="D37" s="19" t="n">
        <f aca="false">SUM(D26:D30)</f>
        <v>179320</v>
      </c>
      <c r="E37" s="19" t="n">
        <f aca="false">SUM(E26:E30)</f>
        <v>179320</v>
      </c>
      <c r="F37" s="19" t="n">
        <f aca="false">SUM(F26:F30)</f>
        <v>179320</v>
      </c>
      <c r="G37" s="19" t="n">
        <f aca="false">SUM(G26:G30)</f>
        <v>179320</v>
      </c>
      <c r="H37" s="19" t="n">
        <f aca="false">SUM(H26:H30)</f>
        <v>179320</v>
      </c>
      <c r="I37" s="19" t="n">
        <f aca="false">SUM(I26:I30)</f>
        <v>179320</v>
      </c>
      <c r="J37" s="19" t="n">
        <f aca="false">SUM(J26:J30)</f>
        <v>179320</v>
      </c>
      <c r="K37" s="19" t="n">
        <f aca="false">SUM(K26:K30)</f>
        <v>179320</v>
      </c>
      <c r="L37" s="19" t="n">
        <f aca="false">SUM(L26:L30)</f>
        <v>179320</v>
      </c>
    </row>
    <row r="38" customFormat="false" ht="15" hidden="false" customHeight="false" outlineLevel="0" collapsed="false">
      <c r="A38" s="7" t="s">
        <v>211</v>
      </c>
      <c r="B38" s="2" t="s">
        <v>195</v>
      </c>
      <c r="C38" s="19" t="n">
        <f aca="false">SUM(C31:C32)</f>
        <v>146580</v>
      </c>
      <c r="D38" s="19" t="n">
        <f aca="false">SUM(D31:D32)</f>
        <v>146580</v>
      </c>
      <c r="E38" s="19" t="n">
        <f aca="false">SUM(E31:E32)</f>
        <v>146580</v>
      </c>
      <c r="F38" s="19" t="n">
        <f aca="false">SUM(F31:F32)</f>
        <v>146580</v>
      </c>
      <c r="G38" s="19" t="n">
        <f aca="false">SUM(G31:G32)</f>
        <v>146580</v>
      </c>
      <c r="H38" s="19" t="n">
        <f aca="false">SUM(H31:H32)</f>
        <v>146580</v>
      </c>
      <c r="I38" s="19" t="n">
        <f aca="false">SUM(I31:I32)</f>
        <v>146580</v>
      </c>
      <c r="J38" s="19" t="n">
        <f aca="false">SUM(J31:J32)</f>
        <v>146580</v>
      </c>
      <c r="K38" s="19" t="n">
        <f aca="false">SUM(K31:K32)</f>
        <v>146580</v>
      </c>
      <c r="L38" s="19" t="n">
        <f aca="false">SUM(L31:L32)</f>
        <v>146580</v>
      </c>
    </row>
    <row r="39" customFormat="false" ht="15" hidden="false" customHeight="false" outlineLevel="0" collapsed="false">
      <c r="A39" s="39" t="s">
        <v>212</v>
      </c>
      <c r="B39" s="40" t="s">
        <v>195</v>
      </c>
      <c r="C39" s="41" t="n">
        <f aca="false">C20+C33</f>
        <v>2781558.18181818</v>
      </c>
      <c r="D39" s="41" t="n">
        <f aca="false">D20+D33</f>
        <v>3047827.27272727</v>
      </c>
      <c r="E39" s="41" t="n">
        <f aca="false">E20+E33</f>
        <v>3280812.72727273</v>
      </c>
      <c r="F39" s="41" t="n">
        <f aca="false">F20+F33</f>
        <v>3447230.90909091</v>
      </c>
      <c r="G39" s="41" t="n">
        <f aca="false">G20+G33</f>
        <v>3613649.09090909</v>
      </c>
      <c r="H39" s="41" t="n">
        <f aca="false">H20+H33</f>
        <v>3713500</v>
      </c>
      <c r="I39" s="41" t="n">
        <f aca="false">I20+I33</f>
        <v>3780067.27272727</v>
      </c>
      <c r="J39" s="41" t="n">
        <f aca="false">J20+J33</f>
        <v>3780067.27272727</v>
      </c>
      <c r="K39" s="41" t="n">
        <f aca="false">K20+K33</f>
        <v>3780067.27272727</v>
      </c>
      <c r="L39" s="41" t="n">
        <f aca="false">L20+L33</f>
        <v>3780067.27272727</v>
      </c>
    </row>
    <row r="40" customFormat="false" ht="15" hidden="false" customHeight="false" outlineLevel="0" collapsed="false">
      <c r="A40" s="7" t="s">
        <v>213</v>
      </c>
      <c r="B40" s="2" t="s">
        <v>195</v>
      </c>
      <c r="C40" s="36" t="n">
        <f aca="false">IF(C7=0,0,C20/C7)</f>
        <v>4.62272727272727</v>
      </c>
      <c r="D40" s="36" t="n">
        <f aca="false">IF(D7=0,0,D20/D7)</f>
        <v>4.62272727272727</v>
      </c>
      <c r="E40" s="36" t="n">
        <f aca="false">IF(E7=0,0,E20/E7)</f>
        <v>4.62272727272727</v>
      </c>
      <c r="F40" s="36" t="n">
        <f aca="false">IF(F7=0,0,F20/F7)</f>
        <v>4.62272727272727</v>
      </c>
      <c r="G40" s="36" t="n">
        <f aca="false">IF(G7=0,0,G20/G7)</f>
        <v>4.62272727272727</v>
      </c>
      <c r="H40" s="36" t="n">
        <f aca="false">IF(H7=0,0,H20/H7)</f>
        <v>4.62272727272727</v>
      </c>
      <c r="I40" s="36" t="n">
        <f aca="false">IF(I7=0,0,I20/I7)</f>
        <v>4.62272727272727</v>
      </c>
      <c r="J40" s="36" t="n">
        <f aca="false">IF(J7=0,0,J20/J7)</f>
        <v>4.62272727272727</v>
      </c>
      <c r="K40" s="36" t="n">
        <f aca="false">IF(K7=0,0,K20/K7)</f>
        <v>4.62272727272727</v>
      </c>
      <c r="L40" s="36" t="n">
        <f aca="false">IF(L7=0,0,L20/L7)</f>
        <v>4.62272727272727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12" min="3" style="0" width="13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9" t="s">
        <v>214</v>
      </c>
    </row>
    <row r="2" customFormat="false" ht="15" hidden="false" customHeight="false" outlineLevel="0" collapsed="false">
      <c r="A2" s="2" t="s">
        <v>215</v>
      </c>
    </row>
    <row r="4" customFormat="false" ht="15" hidden="false" customHeight="false" outlineLevel="0" collapsed="false">
      <c r="A4" s="10" t="s">
        <v>108</v>
      </c>
      <c r="B4" s="10" t="s">
        <v>109</v>
      </c>
      <c r="C4" s="22" t="s">
        <v>110</v>
      </c>
      <c r="D4" s="22" t="s">
        <v>111</v>
      </c>
      <c r="E4" s="22" t="s">
        <v>112</v>
      </c>
      <c r="F4" s="22" t="s">
        <v>113</v>
      </c>
      <c r="G4" s="22" t="s">
        <v>114</v>
      </c>
      <c r="H4" s="22" t="s">
        <v>115</v>
      </c>
      <c r="I4" s="22" t="s">
        <v>116</v>
      </c>
      <c r="J4" s="22" t="s">
        <v>117</v>
      </c>
      <c r="K4" s="22" t="s">
        <v>118</v>
      </c>
      <c r="L4" s="22" t="s">
        <v>119</v>
      </c>
    </row>
    <row r="5" customFormat="false" ht="15" hidden="false" customHeight="false" outlineLevel="0" collapsed="false">
      <c r="A5" s="20" t="s">
        <v>216</v>
      </c>
      <c r="C5" s="42" t="n">
        <f aca="false">Operacion!C$12</f>
        <v>3672000</v>
      </c>
      <c r="D5" s="42" t="n">
        <f aca="false">Operacion!D$12</f>
        <v>4161600</v>
      </c>
      <c r="E5" s="42" t="n">
        <f aca="false">Operacion!E$12</f>
        <v>4590000</v>
      </c>
      <c r="F5" s="42" t="n">
        <f aca="false">Operacion!F$12</f>
        <v>4896000</v>
      </c>
      <c r="G5" s="42" t="n">
        <f aca="false">Operacion!G$12</f>
        <v>5202000</v>
      </c>
      <c r="H5" s="42" t="n">
        <f aca="false">Operacion!H$12</f>
        <v>5385600</v>
      </c>
      <c r="I5" s="42" t="n">
        <f aca="false">Operacion!I$12</f>
        <v>5508000</v>
      </c>
      <c r="J5" s="42" t="n">
        <f aca="false">Operacion!J$12</f>
        <v>5508000</v>
      </c>
      <c r="K5" s="42" t="n">
        <f aca="false">Operacion!K$12</f>
        <v>5508000</v>
      </c>
      <c r="L5" s="42" t="n">
        <f aca="false">Operacion!L$12</f>
        <v>5508000</v>
      </c>
    </row>
    <row r="6" customFormat="false" ht="15" hidden="false" customHeight="false" outlineLevel="0" collapsed="false">
      <c r="A6" s="7" t="s">
        <v>217</v>
      </c>
      <c r="C6" s="19" t="n">
        <f aca="false">-Operacion!C$36</f>
        <v>-2455658.18181818</v>
      </c>
      <c r="D6" s="19" t="n">
        <f aca="false">-Operacion!D$36</f>
        <v>-2721927.27272727</v>
      </c>
      <c r="E6" s="19" t="n">
        <f aca="false">-Operacion!E$36</f>
        <v>-2954912.72727273</v>
      </c>
      <c r="F6" s="19" t="n">
        <f aca="false">-Operacion!F$36</f>
        <v>-3121330.90909091</v>
      </c>
      <c r="G6" s="19" t="n">
        <f aca="false">-Operacion!G$36</f>
        <v>-3287749.09090909</v>
      </c>
      <c r="H6" s="19" t="n">
        <f aca="false">-Operacion!H$36</f>
        <v>-3387600</v>
      </c>
      <c r="I6" s="19" t="n">
        <f aca="false">-Operacion!I$36</f>
        <v>-3454167.27272727</v>
      </c>
      <c r="J6" s="19" t="n">
        <f aca="false">-Operacion!J$36</f>
        <v>-3454167.27272727</v>
      </c>
      <c r="K6" s="19" t="n">
        <f aca="false">-Operacion!K$36</f>
        <v>-3454167.27272727</v>
      </c>
      <c r="L6" s="19" t="n">
        <f aca="false">-Operacion!L$36</f>
        <v>-3454167.27272727</v>
      </c>
    </row>
    <row r="7" customFormat="false" ht="15" hidden="false" customHeight="false" outlineLevel="0" collapsed="false">
      <c r="A7" s="30" t="s">
        <v>218</v>
      </c>
      <c r="B7" s="43"/>
      <c r="C7" s="38" t="n">
        <f aca="false">C5+C6</f>
        <v>1216341.81818182</v>
      </c>
      <c r="D7" s="38" t="n">
        <f aca="false">D5+D6</f>
        <v>1439672.72727273</v>
      </c>
      <c r="E7" s="38" t="n">
        <f aca="false">E5+E6</f>
        <v>1635087.27272727</v>
      </c>
      <c r="F7" s="38" t="n">
        <f aca="false">F5+F6</f>
        <v>1774669.09090909</v>
      </c>
      <c r="G7" s="38" t="n">
        <f aca="false">G5+G6</f>
        <v>1914250.90909091</v>
      </c>
      <c r="H7" s="38" t="n">
        <f aca="false">H5+H6</f>
        <v>1998000</v>
      </c>
      <c r="I7" s="38" t="n">
        <f aca="false">I5+I6</f>
        <v>2053832.72727273</v>
      </c>
      <c r="J7" s="38" t="n">
        <f aca="false">J5+J6</f>
        <v>2053832.72727273</v>
      </c>
      <c r="K7" s="38" t="n">
        <f aca="false">K5+K6</f>
        <v>2053832.72727273</v>
      </c>
      <c r="L7" s="38" t="n">
        <f aca="false">L5+L6</f>
        <v>2053832.72727273</v>
      </c>
    </row>
    <row r="8" customFormat="false" ht="15" hidden="false" customHeight="false" outlineLevel="0" collapsed="false">
      <c r="A8" s="7" t="s">
        <v>219</v>
      </c>
      <c r="C8" s="19" t="n">
        <f aca="false">-Operacion!C$37</f>
        <v>-179320</v>
      </c>
      <c r="D8" s="19" t="n">
        <f aca="false">-Operacion!D$37</f>
        <v>-179320</v>
      </c>
      <c r="E8" s="19" t="n">
        <f aca="false">-Operacion!E$37</f>
        <v>-179320</v>
      </c>
      <c r="F8" s="19" t="n">
        <f aca="false">-Operacion!F$37</f>
        <v>-179320</v>
      </c>
      <c r="G8" s="19" t="n">
        <f aca="false">-Operacion!G$37</f>
        <v>-179320</v>
      </c>
      <c r="H8" s="19" t="n">
        <f aca="false">-Operacion!H$37</f>
        <v>-179320</v>
      </c>
      <c r="I8" s="19" t="n">
        <f aca="false">-Operacion!I$37</f>
        <v>-179320</v>
      </c>
      <c r="J8" s="19" t="n">
        <f aca="false">-Operacion!J$37</f>
        <v>-179320</v>
      </c>
      <c r="K8" s="19" t="n">
        <f aca="false">-Operacion!K$37</f>
        <v>-179320</v>
      </c>
      <c r="L8" s="19" t="n">
        <f aca="false">-Operacion!L$37</f>
        <v>-179320</v>
      </c>
    </row>
    <row r="9" customFormat="false" ht="15" hidden="false" customHeight="false" outlineLevel="0" collapsed="false">
      <c r="A9" s="7" t="s">
        <v>220</v>
      </c>
      <c r="C9" s="19" t="n">
        <f aca="false">-Operacion!C$38</f>
        <v>-146580</v>
      </c>
      <c r="D9" s="19" t="n">
        <f aca="false">-Operacion!D$38</f>
        <v>-146580</v>
      </c>
      <c r="E9" s="19" t="n">
        <f aca="false">-Operacion!E$38</f>
        <v>-146580</v>
      </c>
      <c r="F9" s="19" t="n">
        <f aca="false">-Operacion!F$38</f>
        <v>-146580</v>
      </c>
      <c r="G9" s="19" t="n">
        <f aca="false">-Operacion!G$38</f>
        <v>-146580</v>
      </c>
      <c r="H9" s="19" t="n">
        <f aca="false">-Operacion!H$38</f>
        <v>-146580</v>
      </c>
      <c r="I9" s="19" t="n">
        <f aca="false">-Operacion!I$38</f>
        <v>-146580</v>
      </c>
      <c r="J9" s="19" t="n">
        <f aca="false">-Operacion!J$38</f>
        <v>-146580</v>
      </c>
      <c r="K9" s="19" t="n">
        <f aca="false">-Operacion!K$38</f>
        <v>-146580</v>
      </c>
      <c r="L9" s="19" t="n">
        <f aca="false">-Operacion!L$38</f>
        <v>-146580</v>
      </c>
    </row>
    <row r="10" customFormat="false" ht="15" hidden="false" customHeight="false" outlineLevel="0" collapsed="false">
      <c r="A10" s="7" t="s">
        <v>221</v>
      </c>
      <c r="C10" s="19" t="n">
        <f aca="false">-Depreciacion!C$14</f>
        <v>-112400</v>
      </c>
      <c r="D10" s="19" t="n">
        <f aca="false">-Depreciacion!D$14</f>
        <v>-112400</v>
      </c>
      <c r="E10" s="19" t="n">
        <f aca="false">-Depreciacion!E$14</f>
        <v>-112400</v>
      </c>
      <c r="F10" s="19" t="n">
        <f aca="false">-Depreciacion!F$14</f>
        <v>-112400</v>
      </c>
      <c r="G10" s="19" t="n">
        <f aca="false">-Depreciacion!G$14</f>
        <v>-107900</v>
      </c>
      <c r="H10" s="19" t="n">
        <f aca="false">-Depreciacion!H$14</f>
        <v>-74500</v>
      </c>
      <c r="I10" s="19" t="n">
        <f aca="false">-Depreciacion!I$14</f>
        <v>-74500</v>
      </c>
      <c r="J10" s="19" t="n">
        <f aca="false">-Depreciacion!J$14</f>
        <v>-74500</v>
      </c>
      <c r="K10" s="19" t="n">
        <f aca="false">-Depreciacion!K$14</f>
        <v>-74500</v>
      </c>
      <c r="L10" s="19" t="n">
        <f aca="false">-Depreciacion!L$14</f>
        <v>-74500</v>
      </c>
    </row>
    <row r="11" customFormat="false" ht="15" hidden="false" customHeight="false" outlineLevel="0" collapsed="false">
      <c r="A11" s="30" t="s">
        <v>222</v>
      </c>
      <c r="B11" s="43"/>
      <c r="C11" s="38" t="n">
        <f aca="false">C7+C8+C9+C10</f>
        <v>778041.818181818</v>
      </c>
      <c r="D11" s="38" t="n">
        <f aca="false">D7+D8+D9+D10</f>
        <v>1001372.72727273</v>
      </c>
      <c r="E11" s="38" t="n">
        <f aca="false">E7+E8+E9+E10</f>
        <v>1196787.27272727</v>
      </c>
      <c r="F11" s="38" t="n">
        <f aca="false">F7+F8+F9+F10</f>
        <v>1336369.09090909</v>
      </c>
      <c r="G11" s="38" t="n">
        <f aca="false">G7+G8+G9+G10</f>
        <v>1480450.90909091</v>
      </c>
      <c r="H11" s="38" t="n">
        <f aca="false">H7+H8+H9+H10</f>
        <v>1597600</v>
      </c>
      <c r="I11" s="38" t="n">
        <f aca="false">I7+I8+I9+I10</f>
        <v>1653432.72727273</v>
      </c>
      <c r="J11" s="38" t="n">
        <f aca="false">J7+J8+J9+J10</f>
        <v>1653432.72727273</v>
      </c>
      <c r="K11" s="38" t="n">
        <f aca="false">K7+K8+K9+K10</f>
        <v>1653432.72727273</v>
      </c>
      <c r="L11" s="38" t="n">
        <f aca="false">L7+L8+L9+L10</f>
        <v>1653432.72727273</v>
      </c>
    </row>
    <row r="12" customFormat="false" ht="15" hidden="false" customHeight="false" outlineLevel="0" collapsed="false">
      <c r="A12" s="7" t="s">
        <v>223</v>
      </c>
      <c r="C12" s="19" t="n">
        <f aca="false">-Financiamiento!$C$10</f>
        <v>-165092.721818182</v>
      </c>
      <c r="D12" s="19" t="n">
        <f aca="false">-Financiamiento!$C$11</f>
        <v>-140116.909361668</v>
      </c>
      <c r="E12" s="19" t="n">
        <f aca="false">-Financiamiento!$C$12</f>
        <v>-111644.483161242</v>
      </c>
      <c r="F12" s="19" t="n">
        <f aca="false">-Financiamiento!$C$13</f>
        <v>-79185.9172927569</v>
      </c>
      <c r="G12" s="19" t="n">
        <f aca="false">-Financiamiento!$C$14</f>
        <v>-42183.1522026836</v>
      </c>
      <c r="H12" s="19" t="n">
        <f aca="false">-Financiamiento!$C$15</f>
        <v>-0</v>
      </c>
      <c r="I12" s="19" t="n">
        <f aca="false">-Financiamiento!$C$16</f>
        <v>-0</v>
      </c>
      <c r="J12" s="19" t="n">
        <f aca="false">-Financiamiento!$C$17</f>
        <v>-0</v>
      </c>
      <c r="K12" s="19" t="n">
        <f aca="false">-Financiamiento!$C$18</f>
        <v>-0</v>
      </c>
      <c r="L12" s="19" t="n">
        <f aca="false">-Financiamiento!$C$19</f>
        <v>-0</v>
      </c>
    </row>
    <row r="13" customFormat="false" ht="15" hidden="false" customHeight="false" outlineLevel="0" collapsed="false">
      <c r="A13" s="20" t="s">
        <v>224</v>
      </c>
      <c r="C13" s="42" t="n">
        <f aca="false">C11+C12</f>
        <v>612949.096363637</v>
      </c>
      <c r="D13" s="42" t="n">
        <f aca="false">D11+D12</f>
        <v>861255.81791106</v>
      </c>
      <c r="E13" s="42" t="n">
        <f aca="false">E11+E12</f>
        <v>1085142.78956603</v>
      </c>
      <c r="F13" s="42" t="n">
        <f aca="false">F11+F12</f>
        <v>1257183.17361633</v>
      </c>
      <c r="G13" s="42" t="n">
        <f aca="false">G11+G12</f>
        <v>1438267.75688823</v>
      </c>
      <c r="H13" s="42" t="n">
        <f aca="false">H11+H12</f>
        <v>1597600</v>
      </c>
      <c r="I13" s="42" t="n">
        <f aca="false">I11+I12</f>
        <v>1653432.72727273</v>
      </c>
      <c r="J13" s="42" t="n">
        <f aca="false">J11+J12</f>
        <v>1653432.72727273</v>
      </c>
      <c r="K13" s="42" t="n">
        <f aca="false">K11+K12</f>
        <v>1653432.72727273</v>
      </c>
      <c r="L13" s="42" t="n">
        <f aca="false">L11+L12</f>
        <v>1653432.72727273</v>
      </c>
    </row>
    <row r="14" customFormat="false" ht="15" hidden="false" customHeight="false" outlineLevel="0" collapsed="false">
      <c r="A14" s="7" t="s">
        <v>225</v>
      </c>
      <c r="C14" s="19" t="n">
        <f aca="false">-MAX(C13,0)*Supuestos!$B$46</f>
        <v>-180819.983427273</v>
      </c>
      <c r="D14" s="19" t="n">
        <f aca="false">-MAX(D13,0)*Supuestos!$B$46</f>
        <v>-254070.466283763</v>
      </c>
      <c r="E14" s="19" t="n">
        <f aca="false">-MAX(E13,0)*Supuestos!$B$46</f>
        <v>-320117.122921979</v>
      </c>
      <c r="F14" s="19" t="n">
        <f aca="false">-MAX(F13,0)*Supuestos!$B$46</f>
        <v>-370869.036216819</v>
      </c>
      <c r="G14" s="19" t="n">
        <f aca="false">-MAX(G13,0)*Supuestos!$B$46</f>
        <v>-424288.988282027</v>
      </c>
      <c r="H14" s="19" t="n">
        <f aca="false">-MAX(H13,0)*Supuestos!$B$46</f>
        <v>-471292</v>
      </c>
      <c r="I14" s="19" t="n">
        <f aca="false">-MAX(I13,0)*Supuestos!$B$46</f>
        <v>-487762.654545455</v>
      </c>
      <c r="J14" s="19" t="n">
        <f aca="false">-MAX(J13,0)*Supuestos!$B$46</f>
        <v>-487762.654545455</v>
      </c>
      <c r="K14" s="19" t="n">
        <f aca="false">-MAX(K13,0)*Supuestos!$B$46</f>
        <v>-487762.654545455</v>
      </c>
      <c r="L14" s="19" t="n">
        <f aca="false">-MAX(L13,0)*Supuestos!$B$46</f>
        <v>-487762.654545455</v>
      </c>
    </row>
    <row r="15" customFormat="false" ht="15" hidden="false" customHeight="false" outlineLevel="0" collapsed="false">
      <c r="A15" s="39" t="s">
        <v>226</v>
      </c>
      <c r="B15" s="44"/>
      <c r="C15" s="41" t="n">
        <f aca="false">C13+C14</f>
        <v>432129.112936364</v>
      </c>
      <c r="D15" s="41" t="n">
        <f aca="false">D13+D14</f>
        <v>607185.351627297</v>
      </c>
      <c r="E15" s="41" t="n">
        <f aca="false">E13+E14</f>
        <v>765025.666644051</v>
      </c>
      <c r="F15" s="41" t="n">
        <f aca="false">F13+F14</f>
        <v>886314.137399515</v>
      </c>
      <c r="G15" s="41" t="n">
        <f aca="false">G13+G14</f>
        <v>1013978.7686062</v>
      </c>
      <c r="H15" s="41" t="n">
        <f aca="false">H13+H14</f>
        <v>1126308</v>
      </c>
      <c r="I15" s="41" t="n">
        <f aca="false">I13+I14</f>
        <v>1165670.07272727</v>
      </c>
      <c r="J15" s="41" t="n">
        <f aca="false">J13+J14</f>
        <v>1165670.07272727</v>
      </c>
      <c r="K15" s="41" t="n">
        <f aca="false">K13+K14</f>
        <v>1165670.07272727</v>
      </c>
      <c r="L15" s="41" t="n">
        <f aca="false">L13+L14</f>
        <v>1165670.07272727</v>
      </c>
    </row>
    <row r="17" customFormat="false" ht="15" hidden="false" customHeight="false" outlineLevel="0" collapsed="false">
      <c r="A17" s="7" t="s">
        <v>227</v>
      </c>
      <c r="C17" s="45" t="n">
        <f aca="false">IF(C5=0,0,C15/C5)</f>
        <v>0.117682220298574</v>
      </c>
      <c r="D17" s="45" t="n">
        <f aca="false">IF(D5=0,0,D15/D5)</f>
        <v>0.145901901102292</v>
      </c>
      <c r="E17" s="45" t="n">
        <f aca="false">IF(E5=0,0,E15/E5)</f>
        <v>0.166672258528116</v>
      </c>
      <c r="F17" s="45" t="n">
        <f aca="false">IF(F5=0,0,F15/F5)</f>
        <v>0.181028214338136</v>
      </c>
      <c r="G17" s="45" t="n">
        <f aca="false">IF(G5=0,0,G15/G5)</f>
        <v>0.194920947444483</v>
      </c>
      <c r="H17" s="45" t="n">
        <f aca="false">IF(H5=0,0,H15/H5)</f>
        <v>0.209133244206774</v>
      </c>
      <c r="I17" s="45" t="n">
        <f aca="false">IF(I5=0,0,I15/I5)</f>
        <v>0.211632184591008</v>
      </c>
      <c r="J17" s="45" t="n">
        <f aca="false">IF(J5=0,0,J15/J5)</f>
        <v>0.211632184591008</v>
      </c>
      <c r="K17" s="45" t="n">
        <f aca="false">IF(K5=0,0,K15/K5)</f>
        <v>0.211632184591008</v>
      </c>
      <c r="L17" s="45" t="n">
        <f aca="false">IF(L5=0,0,L15/L5)</f>
        <v>0.211632184591008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12" min="3" style="0" width="13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9" t="s">
        <v>228</v>
      </c>
    </row>
    <row r="2" customFormat="false" ht="15" hidden="false" customHeight="false" outlineLevel="0" collapsed="false">
      <c r="A2" s="2" t="s">
        <v>229</v>
      </c>
    </row>
    <row r="4" customFormat="false" ht="15" hidden="false" customHeight="false" outlineLevel="0" collapsed="false">
      <c r="A4" s="10" t="s">
        <v>108</v>
      </c>
      <c r="B4" s="10" t="s">
        <v>230</v>
      </c>
      <c r="C4" s="22" t="s">
        <v>110</v>
      </c>
      <c r="D4" s="22" t="s">
        <v>111</v>
      </c>
      <c r="E4" s="22" t="s">
        <v>112</v>
      </c>
      <c r="F4" s="22" t="s">
        <v>113</v>
      </c>
      <c r="G4" s="22" t="s">
        <v>114</v>
      </c>
      <c r="H4" s="22" t="s">
        <v>115</v>
      </c>
      <c r="I4" s="22" t="s">
        <v>116</v>
      </c>
      <c r="J4" s="22" t="s">
        <v>117</v>
      </c>
      <c r="K4" s="22" t="s">
        <v>118</v>
      </c>
      <c r="L4" s="22" t="s">
        <v>119</v>
      </c>
    </row>
    <row r="5" customFormat="false" ht="15" hidden="false" customHeight="false" outlineLevel="0" collapsed="false">
      <c r="A5" s="10" t="s">
        <v>231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customFormat="false" ht="15" hidden="false" customHeight="false" outlineLevel="0" collapsed="false">
      <c r="A6" s="7" t="s">
        <v>232</v>
      </c>
      <c r="C6" s="19" t="n">
        <f aca="false">Operacion!C$12</f>
        <v>3672000</v>
      </c>
      <c r="D6" s="19" t="n">
        <f aca="false">Operacion!D$12</f>
        <v>4161600</v>
      </c>
      <c r="E6" s="19" t="n">
        <f aca="false">Operacion!E$12</f>
        <v>4590000</v>
      </c>
      <c r="F6" s="19" t="n">
        <f aca="false">Operacion!F$12</f>
        <v>4896000</v>
      </c>
      <c r="G6" s="19" t="n">
        <f aca="false">Operacion!G$12</f>
        <v>5202000</v>
      </c>
      <c r="H6" s="19" t="n">
        <f aca="false">Operacion!H$12</f>
        <v>5385600</v>
      </c>
      <c r="I6" s="19" t="n">
        <f aca="false">Operacion!I$12</f>
        <v>5508000</v>
      </c>
      <c r="J6" s="19" t="n">
        <f aca="false">Operacion!J$12</f>
        <v>5508000</v>
      </c>
      <c r="K6" s="19" t="n">
        <f aca="false">Operacion!K$12</f>
        <v>5508000</v>
      </c>
      <c r="L6" s="19" t="n">
        <f aca="false">Operacion!L$12</f>
        <v>5508000</v>
      </c>
    </row>
    <row r="7" customFormat="false" ht="15" hidden="false" customHeight="false" outlineLevel="0" collapsed="false">
      <c r="A7" s="7" t="s">
        <v>233</v>
      </c>
      <c r="C7" s="19" t="n">
        <v>0</v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f aca="false">Depreciacion!$B$25</f>
        <v>340000</v>
      </c>
    </row>
    <row r="8" customFormat="false" ht="15" hidden="false" customHeight="false" outlineLevel="0" collapsed="false">
      <c r="A8" s="7" t="s">
        <v>234</v>
      </c>
      <c r="C8" s="19" t="n">
        <v>0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f aca="false">Inversiones!$D$30</f>
        <v>695389.545454545</v>
      </c>
    </row>
    <row r="9" customFormat="false" ht="15" hidden="false" customHeight="false" outlineLevel="0" collapsed="false">
      <c r="A9" s="7" t="s">
        <v>235</v>
      </c>
      <c r="C9" s="19" t="n">
        <f aca="false">-Operacion!C$39</f>
        <v>-2781558.18181818</v>
      </c>
      <c r="D9" s="19" t="n">
        <f aca="false">-Operacion!D$39</f>
        <v>-3047827.27272727</v>
      </c>
      <c r="E9" s="19" t="n">
        <f aca="false">-Operacion!E$39</f>
        <v>-3280812.72727273</v>
      </c>
      <c r="F9" s="19" t="n">
        <f aca="false">-Operacion!F$39</f>
        <v>-3447230.90909091</v>
      </c>
      <c r="G9" s="19" t="n">
        <f aca="false">-Operacion!G$39</f>
        <v>-3613649.09090909</v>
      </c>
      <c r="H9" s="19" t="n">
        <f aca="false">-Operacion!H$39</f>
        <v>-3713500</v>
      </c>
      <c r="I9" s="19" t="n">
        <f aca="false">-Operacion!I$39</f>
        <v>-3780067.27272727</v>
      </c>
      <c r="J9" s="19" t="n">
        <f aca="false">-Operacion!J$39</f>
        <v>-3780067.27272727</v>
      </c>
      <c r="K9" s="19" t="n">
        <f aca="false">-Operacion!K$39</f>
        <v>-3780067.27272727</v>
      </c>
      <c r="L9" s="19" t="n">
        <f aca="false">-Operacion!L$39</f>
        <v>-3780067.27272727</v>
      </c>
    </row>
    <row r="10" customFormat="false" ht="15" hidden="false" customHeight="false" outlineLevel="0" collapsed="false">
      <c r="A10" s="7" t="s">
        <v>221</v>
      </c>
      <c r="C10" s="19" t="n">
        <f aca="false">-Depreciacion!C$14</f>
        <v>-112400</v>
      </c>
      <c r="D10" s="19" t="n">
        <f aca="false">-Depreciacion!D$14</f>
        <v>-112400</v>
      </c>
      <c r="E10" s="19" t="n">
        <f aca="false">-Depreciacion!E$14</f>
        <v>-112400</v>
      </c>
      <c r="F10" s="19" t="n">
        <f aca="false">-Depreciacion!F$14</f>
        <v>-112400</v>
      </c>
      <c r="G10" s="19" t="n">
        <f aca="false">-Depreciacion!G$14</f>
        <v>-107900</v>
      </c>
      <c r="H10" s="19" t="n">
        <f aca="false">-Depreciacion!H$14</f>
        <v>-74500</v>
      </c>
      <c r="I10" s="19" t="n">
        <f aca="false">-Depreciacion!I$14</f>
        <v>-74500</v>
      </c>
      <c r="J10" s="19" t="n">
        <f aca="false">-Depreciacion!J$14</f>
        <v>-74500</v>
      </c>
      <c r="K10" s="19" t="n">
        <f aca="false">-Depreciacion!K$14</f>
        <v>-74500</v>
      </c>
      <c r="L10" s="19" t="n">
        <f aca="false">-Depreciacion!L$14</f>
        <v>-74500</v>
      </c>
    </row>
    <row r="11" customFormat="false" ht="15" hidden="false" customHeight="false" outlineLevel="0" collapsed="false">
      <c r="A11" s="20" t="s">
        <v>236</v>
      </c>
      <c r="C11" s="42" t="n">
        <f aca="false">C6+C9+C10</f>
        <v>778041.818181818</v>
      </c>
      <c r="D11" s="42" t="n">
        <f aca="false">D6+D9+D10</f>
        <v>1001372.72727273</v>
      </c>
      <c r="E11" s="42" t="n">
        <f aca="false">E6+E9+E10</f>
        <v>1196787.27272727</v>
      </c>
      <c r="F11" s="42" t="n">
        <f aca="false">F6+F9+F10</f>
        <v>1336369.09090909</v>
      </c>
      <c r="G11" s="42" t="n">
        <f aca="false">G6+G9+G10</f>
        <v>1480450.90909091</v>
      </c>
      <c r="H11" s="42" t="n">
        <f aca="false">H6+H9+H10</f>
        <v>1597600</v>
      </c>
      <c r="I11" s="42" t="n">
        <f aca="false">I6+I9+I10</f>
        <v>1653432.72727273</v>
      </c>
      <c r="J11" s="42" t="n">
        <f aca="false">J6+J9+J10</f>
        <v>1653432.72727273</v>
      </c>
      <c r="K11" s="42" t="n">
        <f aca="false">K6+K9+K10</f>
        <v>1653432.72727273</v>
      </c>
      <c r="L11" s="42" t="n">
        <f aca="false">L6+L9+L10</f>
        <v>1653432.72727273</v>
      </c>
    </row>
    <row r="12" customFormat="false" ht="15" hidden="false" customHeight="false" outlineLevel="0" collapsed="false">
      <c r="A12" s="7" t="s">
        <v>225</v>
      </c>
      <c r="C12" s="19" t="n">
        <f aca="false">-MAX(C11,0)*Supuestos!$B$46</f>
        <v>-229522.336363636</v>
      </c>
      <c r="D12" s="19" t="n">
        <f aca="false">-MAX(D11,0)*Supuestos!$B$46</f>
        <v>-295404.954545455</v>
      </c>
      <c r="E12" s="19" t="n">
        <f aca="false">-MAX(E11,0)*Supuestos!$B$46</f>
        <v>-353052.245454545</v>
      </c>
      <c r="F12" s="19" t="n">
        <f aca="false">-MAX(F11,0)*Supuestos!$B$46</f>
        <v>-394228.881818182</v>
      </c>
      <c r="G12" s="19" t="n">
        <f aca="false">-MAX(G11,0)*Supuestos!$B$46</f>
        <v>-436733.018181818</v>
      </c>
      <c r="H12" s="19" t="n">
        <f aca="false">-MAX(H11,0)*Supuestos!$B$46</f>
        <v>-471292</v>
      </c>
      <c r="I12" s="19" t="n">
        <f aca="false">-MAX(I11,0)*Supuestos!$B$46</f>
        <v>-487762.654545455</v>
      </c>
      <c r="J12" s="19" t="n">
        <f aca="false">-MAX(J11,0)*Supuestos!$B$46</f>
        <v>-487762.654545455</v>
      </c>
      <c r="K12" s="19" t="n">
        <f aca="false">-MAX(K11,0)*Supuestos!$B$46</f>
        <v>-487762.654545455</v>
      </c>
      <c r="L12" s="19" t="n">
        <f aca="false">-MAX(L11,0)*Supuestos!$B$46</f>
        <v>-487762.654545455</v>
      </c>
    </row>
    <row r="13" customFormat="false" ht="15" hidden="false" customHeight="false" outlineLevel="0" collapsed="false">
      <c r="A13" s="7" t="s">
        <v>237</v>
      </c>
      <c r="C13" s="19" t="n">
        <f aca="false">C11+C12</f>
        <v>548519.481818182</v>
      </c>
      <c r="D13" s="19" t="n">
        <f aca="false">D11+D12</f>
        <v>705967.772727273</v>
      </c>
      <c r="E13" s="19" t="n">
        <f aca="false">E11+E12</f>
        <v>843735.027272727</v>
      </c>
      <c r="F13" s="19" t="n">
        <f aca="false">F11+F12</f>
        <v>942140.209090909</v>
      </c>
      <c r="G13" s="19" t="n">
        <f aca="false">G11+G12</f>
        <v>1043717.89090909</v>
      </c>
      <c r="H13" s="19" t="n">
        <f aca="false">H11+H12</f>
        <v>1126308</v>
      </c>
      <c r="I13" s="19" t="n">
        <f aca="false">I11+I12</f>
        <v>1165670.07272727</v>
      </c>
      <c r="J13" s="19" t="n">
        <f aca="false">J11+J12</f>
        <v>1165670.07272727</v>
      </c>
      <c r="K13" s="19" t="n">
        <f aca="false">K11+K12</f>
        <v>1165670.07272727</v>
      </c>
      <c r="L13" s="19" t="n">
        <f aca="false">L11+L12</f>
        <v>1165670.07272727</v>
      </c>
    </row>
    <row r="14" customFormat="false" ht="15" hidden="false" customHeight="false" outlineLevel="0" collapsed="false">
      <c r="A14" s="7" t="s">
        <v>238</v>
      </c>
      <c r="C14" s="19" t="n">
        <f aca="false">Depreciacion!C$14</f>
        <v>112400</v>
      </c>
      <c r="D14" s="19" t="n">
        <f aca="false">Depreciacion!D$14</f>
        <v>112400</v>
      </c>
      <c r="E14" s="19" t="n">
        <f aca="false">Depreciacion!E$14</f>
        <v>112400</v>
      </c>
      <c r="F14" s="19" t="n">
        <f aca="false">Depreciacion!F$14</f>
        <v>112400</v>
      </c>
      <c r="G14" s="19" t="n">
        <f aca="false">Depreciacion!G$14</f>
        <v>107900</v>
      </c>
      <c r="H14" s="19" t="n">
        <f aca="false">Depreciacion!H$14</f>
        <v>74500</v>
      </c>
      <c r="I14" s="19" t="n">
        <f aca="false">Depreciacion!I$14</f>
        <v>74500</v>
      </c>
      <c r="J14" s="19" t="n">
        <f aca="false">Depreciacion!J$14</f>
        <v>74500</v>
      </c>
      <c r="K14" s="19" t="n">
        <f aca="false">Depreciacion!K$14</f>
        <v>74500</v>
      </c>
      <c r="L14" s="19" t="n">
        <f aca="false">Depreciacion!L$14</f>
        <v>74500</v>
      </c>
    </row>
    <row r="15" customFormat="false" ht="15" hidden="false" customHeight="false" outlineLevel="0" collapsed="false">
      <c r="A15" s="7" t="s">
        <v>239</v>
      </c>
      <c r="B15" s="19" t="n">
        <f aca="false">-Inversiones!$D$33</f>
        <v>-1965389.54545455</v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</row>
    <row r="16" customFormat="false" ht="15" hidden="false" customHeight="false" outlineLevel="0" collapsed="false">
      <c r="A16" s="39" t="s">
        <v>240</v>
      </c>
      <c r="B16" s="41" t="n">
        <f aca="false">B15</f>
        <v>-1965389.54545455</v>
      </c>
      <c r="C16" s="41" t="n">
        <f aca="false">C13+C14+C7+C8</f>
        <v>660919.481818182</v>
      </c>
      <c r="D16" s="41" t="n">
        <f aca="false">D13+D14+D7+D8</f>
        <v>818367.772727273</v>
      </c>
      <c r="E16" s="41" t="n">
        <f aca="false">E13+E14+E7+E8</f>
        <v>956135.027272727</v>
      </c>
      <c r="F16" s="41" t="n">
        <f aca="false">F13+F14+F7+F8</f>
        <v>1054540.20909091</v>
      </c>
      <c r="G16" s="41" t="n">
        <f aca="false">G13+G14+G7+G8</f>
        <v>1151617.89090909</v>
      </c>
      <c r="H16" s="41" t="n">
        <f aca="false">H13+H14+H7+H8</f>
        <v>1200808</v>
      </c>
      <c r="I16" s="41" t="n">
        <f aca="false">I13+I14+I7+I8</f>
        <v>1240170.07272727</v>
      </c>
      <c r="J16" s="41" t="n">
        <f aca="false">J13+J14+J7+J8</f>
        <v>1240170.07272727</v>
      </c>
      <c r="K16" s="41" t="n">
        <f aca="false">K13+K14+K7+K8</f>
        <v>1240170.07272727</v>
      </c>
      <c r="L16" s="41" t="n">
        <f aca="false">L13+L14+L7+L8</f>
        <v>2275559.61818182</v>
      </c>
    </row>
    <row r="18" customFormat="false" ht="15" hidden="false" customHeight="false" outlineLevel="0" collapsed="false">
      <c r="A18" s="10" t="s">
        <v>241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customFormat="false" ht="15" hidden="false" customHeight="false" outlineLevel="0" collapsed="false">
      <c r="A19" s="7" t="s">
        <v>242</v>
      </c>
      <c r="B19" s="28" t="n">
        <f aca="false">B16</f>
        <v>-1965389.54545455</v>
      </c>
      <c r="C19" s="19" t="n">
        <f aca="false">C16</f>
        <v>660919.481818182</v>
      </c>
      <c r="D19" s="19" t="n">
        <f aca="false">D16</f>
        <v>818367.772727273</v>
      </c>
      <c r="E19" s="19" t="n">
        <f aca="false">E16</f>
        <v>956135.027272727</v>
      </c>
      <c r="F19" s="19" t="n">
        <f aca="false">F16</f>
        <v>1054540.20909091</v>
      </c>
      <c r="G19" s="19" t="n">
        <f aca="false">G16</f>
        <v>1151617.89090909</v>
      </c>
      <c r="H19" s="19" t="n">
        <f aca="false">H16</f>
        <v>1200808</v>
      </c>
      <c r="I19" s="19" t="n">
        <f aca="false">I16</f>
        <v>1240170.07272727</v>
      </c>
      <c r="J19" s="19" t="n">
        <f aca="false">J16</f>
        <v>1240170.07272727</v>
      </c>
      <c r="K19" s="19" t="n">
        <f aca="false">K16</f>
        <v>1240170.07272727</v>
      </c>
      <c r="L19" s="19" t="n">
        <f aca="false">L16</f>
        <v>2275559.61818182</v>
      </c>
    </row>
    <row r="20" customFormat="false" ht="15" hidden="false" customHeight="false" outlineLevel="0" collapsed="false">
      <c r="A20" s="7" t="s">
        <v>243</v>
      </c>
      <c r="B20" s="28" t="n">
        <f aca="false">Inversiones!$D$37</f>
        <v>1179233.72727273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</row>
    <row r="21" customFormat="false" ht="15" hidden="false" customHeight="false" outlineLevel="0" collapsed="false">
      <c r="A21" s="7" t="s">
        <v>244</v>
      </c>
      <c r="C21" s="19" t="n">
        <f aca="false">-Financiamiento!$D$10</f>
        <v>-178398.66040367</v>
      </c>
      <c r="D21" s="19" t="n">
        <f aca="false">-Financiamiento!$D$11</f>
        <v>-203374.472860184</v>
      </c>
      <c r="E21" s="19" t="n">
        <f aca="false">-Financiamiento!$D$12</f>
        <v>-231846.89906061</v>
      </c>
      <c r="F21" s="19" t="n">
        <f aca="false">-Financiamiento!$D$13</f>
        <v>-264305.464929095</v>
      </c>
      <c r="G21" s="19" t="n">
        <f aca="false">-Financiamiento!$D$14</f>
        <v>-301308.230019168</v>
      </c>
      <c r="H21" s="19" t="n">
        <f aca="false">-Financiamiento!$D$15</f>
        <v>-0</v>
      </c>
      <c r="I21" s="19" t="n">
        <f aca="false">-Financiamiento!$D$16</f>
        <v>-0</v>
      </c>
      <c r="J21" s="19" t="n">
        <f aca="false">-Financiamiento!$D$17</f>
        <v>-0</v>
      </c>
      <c r="K21" s="19" t="n">
        <f aca="false">-Financiamiento!$D$18</f>
        <v>-0</v>
      </c>
      <c r="L21" s="19" t="n">
        <f aca="false">-Financiamiento!$D$19</f>
        <v>-0</v>
      </c>
    </row>
    <row r="22" customFormat="false" ht="15" hidden="false" customHeight="false" outlineLevel="0" collapsed="false">
      <c r="A22" s="7" t="s">
        <v>245</v>
      </c>
      <c r="C22" s="19" t="n">
        <f aca="false">-Financiamiento!$C$10</f>
        <v>-165092.721818182</v>
      </c>
      <c r="D22" s="19" t="n">
        <f aca="false">-Financiamiento!$C$11</f>
        <v>-140116.909361668</v>
      </c>
      <c r="E22" s="19" t="n">
        <f aca="false">-Financiamiento!$C$12</f>
        <v>-111644.483161242</v>
      </c>
      <c r="F22" s="19" t="n">
        <f aca="false">-Financiamiento!$C$13</f>
        <v>-79185.9172927569</v>
      </c>
      <c r="G22" s="19" t="n">
        <f aca="false">-Financiamiento!$C$14</f>
        <v>-42183.1522026836</v>
      </c>
      <c r="H22" s="19" t="n">
        <f aca="false">-Financiamiento!$C$15</f>
        <v>-0</v>
      </c>
      <c r="I22" s="19" t="n">
        <f aca="false">-Financiamiento!$C$16</f>
        <v>-0</v>
      </c>
      <c r="J22" s="19" t="n">
        <f aca="false">-Financiamiento!$C$17</f>
        <v>-0</v>
      </c>
      <c r="K22" s="19" t="n">
        <f aca="false">-Financiamiento!$C$18</f>
        <v>-0</v>
      </c>
      <c r="L22" s="19" t="n">
        <f aca="false">-Financiamiento!$C$19</f>
        <v>-0</v>
      </c>
    </row>
    <row r="23" customFormat="false" ht="15" hidden="false" customHeight="false" outlineLevel="0" collapsed="false">
      <c r="A23" s="7" t="s">
        <v>246</v>
      </c>
      <c r="C23" s="19" t="n">
        <f aca="false">Financiamiento!$C$10*Supuestos!$B$46</f>
        <v>48702.3529363636</v>
      </c>
      <c r="D23" s="19" t="n">
        <f aca="false">Financiamiento!$C$11*Supuestos!$B$46</f>
        <v>41334.4882616921</v>
      </c>
      <c r="E23" s="19" t="n">
        <f aca="false">Financiamiento!$C$12*Supuestos!$B$46</f>
        <v>32935.1225325665</v>
      </c>
      <c r="F23" s="19" t="n">
        <f aca="false">Financiamiento!$C$13*Supuestos!$B$46</f>
        <v>23359.8456013633</v>
      </c>
      <c r="G23" s="19" t="n">
        <f aca="false">Financiamiento!$C$14*Supuestos!$B$46</f>
        <v>12444.0298997917</v>
      </c>
      <c r="H23" s="19" t="n">
        <f aca="false">Financiamiento!$C$15*Supuestos!$B$46</f>
        <v>0</v>
      </c>
      <c r="I23" s="19" t="n">
        <f aca="false">Financiamiento!$C$16*Supuestos!$B$46</f>
        <v>0</v>
      </c>
      <c r="J23" s="19" t="n">
        <f aca="false">Financiamiento!$C$17*Supuestos!$B$46</f>
        <v>0</v>
      </c>
      <c r="K23" s="19" t="n">
        <f aca="false">Financiamiento!$C$18*Supuestos!$B$46</f>
        <v>0</v>
      </c>
      <c r="L23" s="19" t="n">
        <f aca="false">Financiamiento!$C$19*Supuestos!$B$46</f>
        <v>0</v>
      </c>
    </row>
    <row r="24" customFormat="false" ht="15" hidden="false" customHeight="false" outlineLevel="0" collapsed="false">
      <c r="A24" s="39" t="s">
        <v>247</v>
      </c>
      <c r="B24" s="41" t="n">
        <f aca="false">B19+B20</f>
        <v>-786155.818181818</v>
      </c>
      <c r="C24" s="41" t="n">
        <f aca="false">C19+C20+C21+C22+C23</f>
        <v>366130.452532694</v>
      </c>
      <c r="D24" s="41" t="n">
        <f aca="false">D19+D20+D21+D22+D23</f>
        <v>516210.878767113</v>
      </c>
      <c r="E24" s="41" t="n">
        <f aca="false">E19+E20+E21+E22+E23</f>
        <v>645578.767583442</v>
      </c>
      <c r="F24" s="41" t="n">
        <f aca="false">F19+F20+F21+F22+F23</f>
        <v>734408.67247042</v>
      </c>
      <c r="G24" s="41" t="n">
        <f aca="false">G19+G20+G21+G22+G23</f>
        <v>820570.538587031</v>
      </c>
      <c r="H24" s="41" t="n">
        <f aca="false">H19+H20+H21+H22+H23</f>
        <v>1200808</v>
      </c>
      <c r="I24" s="41" t="n">
        <f aca="false">I19+I20+I21+I22+I23</f>
        <v>1240170.07272727</v>
      </c>
      <c r="J24" s="41" t="n">
        <f aca="false">J19+J20+J21+J22+J23</f>
        <v>1240170.07272727</v>
      </c>
      <c r="K24" s="41" t="n">
        <f aca="false">K19+K20+K21+K22+K23</f>
        <v>1240170.07272727</v>
      </c>
      <c r="L24" s="41" t="n">
        <f aca="false">L19+L20+L21+L22+L23</f>
        <v>2275559.61818182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46"/>
    <col collapsed="false" customWidth="true" hidden="false" outlineLevel="0" max="12" min="5" style="0" width="13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9" t="s">
        <v>248</v>
      </c>
    </row>
    <row r="2" customFormat="false" ht="15" hidden="false" customHeight="false" outlineLevel="0" collapsed="false">
      <c r="A2" s="2" t="s">
        <v>249</v>
      </c>
    </row>
    <row r="4" customFormat="false" ht="15" hidden="false" customHeight="false" outlineLevel="0" collapsed="false">
      <c r="A4" s="10" t="s">
        <v>250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customFormat="false" ht="15" hidden="false" customHeight="false" outlineLevel="0" collapsed="false">
      <c r="A5" s="7" t="s">
        <v>251</v>
      </c>
      <c r="B5" s="46" t="n">
        <f aca="false">Supuestos!$B$47</f>
        <v>0.15</v>
      </c>
    </row>
    <row r="6" customFormat="false" ht="15" hidden="false" customHeight="false" outlineLevel="0" collapsed="false">
      <c r="A6" s="7" t="s">
        <v>252</v>
      </c>
      <c r="B6" s="29" t="n">
        <f aca="false">Supuestos!$B$51*(1-Supuestos!$B$46)</f>
        <v>0.0987</v>
      </c>
    </row>
    <row r="7" customFormat="false" ht="15" hidden="false" customHeight="false" outlineLevel="0" collapsed="false">
      <c r="A7" s="3" t="s">
        <v>253</v>
      </c>
      <c r="B7" s="47" t="n">
        <f aca="false">Supuestos!$B$50*B6+(1-Supuestos!$B$50)*B5</f>
        <v>0.11922</v>
      </c>
      <c r="C7" s="2" t="s">
        <v>254</v>
      </c>
    </row>
    <row r="9" customFormat="false" ht="15" hidden="false" customHeight="false" outlineLevel="0" collapsed="false">
      <c r="A9" s="3" t="s">
        <v>255</v>
      </c>
    </row>
    <row r="10" customFormat="false" ht="15" hidden="false" customHeight="false" outlineLevel="0" collapsed="false">
      <c r="A10" s="7" t="s">
        <v>256</v>
      </c>
      <c r="B10" s="15" t="n">
        <f aca="false">B7</f>
        <v>0.11922</v>
      </c>
      <c r="C10" s="2" t="s">
        <v>257</v>
      </c>
      <c r="D10" s="2" t="s">
        <v>258</v>
      </c>
    </row>
    <row r="11" customFormat="false" ht="15" hidden="false" customHeight="false" outlineLevel="0" collapsed="false">
      <c r="A11" s="7" t="s">
        <v>259</v>
      </c>
      <c r="B11" s="15" t="n">
        <f aca="false">B5</f>
        <v>0.15</v>
      </c>
      <c r="C11" s="2" t="s">
        <v>260</v>
      </c>
      <c r="D11" s="2" t="s">
        <v>261</v>
      </c>
    </row>
    <row r="12" customFormat="false" ht="15" hidden="false" customHeight="false" outlineLevel="0" collapsed="false">
      <c r="A12" s="2" t="s">
        <v>262</v>
      </c>
    </row>
    <row r="14" customFormat="false" ht="15" hidden="false" customHeight="false" outlineLevel="0" collapsed="false">
      <c r="A14" s="10" t="s">
        <v>263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customFormat="false" ht="15" hidden="false" customHeight="false" outlineLevel="0" collapsed="false">
      <c r="A15" s="10" t="s">
        <v>264</v>
      </c>
      <c r="B15" s="10" t="s">
        <v>265</v>
      </c>
      <c r="C15" s="10" t="s">
        <v>266</v>
      </c>
      <c r="D15" s="10" t="s">
        <v>267</v>
      </c>
    </row>
    <row r="16" customFormat="false" ht="15" hidden="false" customHeight="false" outlineLevel="0" collapsed="false">
      <c r="A16" s="3" t="s">
        <v>268</v>
      </c>
      <c r="B16" s="48" t="n">
        <f aca="false">NPV($B$10,FlujoCaja!$C$16:$L$16)+FlujoCaja!$B$16</f>
        <v>4154359.15949634</v>
      </c>
      <c r="C16" s="48" t="n">
        <f aca="false">NPV($B$11,FlujoCaja!$C$24:$L$24)+FlujoCaja!$B$24</f>
        <v>3480695.08814631</v>
      </c>
      <c r="D16" s="7" t="s">
        <v>269</v>
      </c>
    </row>
    <row r="17" customFormat="false" ht="15" hidden="false" customHeight="false" outlineLevel="0" collapsed="false">
      <c r="A17" s="3" t="s">
        <v>270</v>
      </c>
      <c r="B17" s="49" t="n">
        <f aca="false">IFERROR(IRR(FlujoCaja!$B$16:$L$16),"n.d.")</f>
        <v>0.449025592938655</v>
      </c>
      <c r="C17" s="49" t="n">
        <f aca="false">IFERROR(IRR(FlujoCaja!$B$24:$L$24),"n.d.")</f>
        <v>0.703086224519943</v>
      </c>
      <c r="D17" s="7" t="s">
        <v>271</v>
      </c>
    </row>
    <row r="18" customFormat="false" ht="15" hidden="false" customHeight="false" outlineLevel="0" collapsed="false">
      <c r="A18" s="3" t="s">
        <v>272</v>
      </c>
      <c r="B18" s="50" t="n">
        <f aca="false">IFERROR(B42/B43,0)</f>
        <v>1.17749267187385</v>
      </c>
      <c r="D18" s="7" t="s">
        <v>273</v>
      </c>
    </row>
    <row r="19" customFormat="false" ht="15" hidden="false" customHeight="false" outlineLevel="0" collapsed="false">
      <c r="A19" s="3" t="s">
        <v>274</v>
      </c>
      <c r="B19" s="51" t="n">
        <f aca="false">IFERROR(COUNTIF(B38:L38,"&lt;0")-1+ABS(INDEX(B38:L38,COUNTIF(B38:L38,"&lt;0")))/INDEX(FlujoCaja!$C$16:$L$16,COUNTIF(B38:L38,"&lt;0")),"n.d.")</f>
        <v>2.50840339182599</v>
      </c>
      <c r="D19" s="7" t="s">
        <v>275</v>
      </c>
    </row>
    <row r="20" customFormat="false" ht="15" hidden="false" customHeight="false" outlineLevel="0" collapsed="false">
      <c r="A20" s="7" t="s">
        <v>276</v>
      </c>
      <c r="B20" s="28" t="n">
        <f aca="false">AVERAGE(EERR!C15:L15)</f>
        <v>949362.132812252</v>
      </c>
    </row>
    <row r="22" customFormat="false" ht="15" hidden="false" customHeight="false" outlineLevel="0" collapsed="false">
      <c r="A22" s="10" t="s">
        <v>277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customFormat="false" ht="15" hidden="false" customHeight="false" outlineLevel="0" collapsed="false">
      <c r="A23" s="10" t="s">
        <v>108</v>
      </c>
      <c r="B23" s="10" t="s">
        <v>109</v>
      </c>
      <c r="C23" s="22" t="s">
        <v>110</v>
      </c>
      <c r="D23" s="22" t="s">
        <v>111</v>
      </c>
      <c r="E23" s="22" t="s">
        <v>112</v>
      </c>
      <c r="F23" s="22" t="s">
        <v>113</v>
      </c>
      <c r="G23" s="22" t="s">
        <v>114</v>
      </c>
      <c r="H23" s="22" t="s">
        <v>115</v>
      </c>
      <c r="I23" s="22" t="s">
        <v>116</v>
      </c>
      <c r="J23" s="22" t="s">
        <v>117</v>
      </c>
      <c r="K23" s="22" t="s">
        <v>118</v>
      </c>
      <c r="L23" s="22" t="s">
        <v>119</v>
      </c>
    </row>
    <row r="24" customFormat="false" ht="15" hidden="false" customHeight="false" outlineLevel="0" collapsed="false">
      <c r="A24" s="7" t="s">
        <v>278</v>
      </c>
      <c r="C24" s="19" t="n">
        <f aca="false">IF((Operacion!C$9-Operacion!C$40)&lt;=0,0,Operacion!C$33/(Operacion!C$9-Operacion!C$40))</f>
        <v>202343.25908558</v>
      </c>
      <c r="D24" s="19" t="n">
        <f aca="false">IF((Operacion!D$9-Operacion!D$40)&lt;=0,0,Operacion!D$33/(Operacion!D$9-Operacion!D$40))</f>
        <v>202343.25908558</v>
      </c>
      <c r="E24" s="19" t="n">
        <f aca="false">IF((Operacion!E$9-Operacion!E$40)&lt;=0,0,Operacion!E$33/(Operacion!E$9-Operacion!E$40))</f>
        <v>202343.25908558</v>
      </c>
      <c r="F24" s="19" t="n">
        <f aca="false">IF((Operacion!F$9-Operacion!F$40)&lt;=0,0,Operacion!F$33/(Operacion!F$9-Operacion!F$40))</f>
        <v>202343.25908558</v>
      </c>
      <c r="G24" s="19" t="n">
        <f aca="false">IF((Operacion!G$9-Operacion!G$40)&lt;=0,0,Operacion!G$33/(Operacion!G$9-Operacion!G$40))</f>
        <v>202343.25908558</v>
      </c>
      <c r="H24" s="19" t="n">
        <f aca="false">IF((Operacion!H$9-Operacion!H$40)&lt;=0,0,Operacion!H$33/(Operacion!H$9-Operacion!H$40))</f>
        <v>202343.25908558</v>
      </c>
      <c r="I24" s="19" t="n">
        <f aca="false">IF((Operacion!I$9-Operacion!I$40)&lt;=0,0,Operacion!I$33/(Operacion!I$9-Operacion!I$40))</f>
        <v>202343.25908558</v>
      </c>
      <c r="J24" s="19" t="n">
        <f aca="false">IF((Operacion!J$9-Operacion!J$40)&lt;=0,0,Operacion!J$33/(Operacion!J$9-Operacion!J$40))</f>
        <v>202343.25908558</v>
      </c>
      <c r="K24" s="19" t="n">
        <f aca="false">IF((Operacion!K$9-Operacion!K$40)&lt;=0,0,Operacion!K$33/(Operacion!K$9-Operacion!K$40))</f>
        <v>202343.25908558</v>
      </c>
      <c r="L24" s="19" t="n">
        <f aca="false">IF((Operacion!L$9-Operacion!L$40)&lt;=0,0,Operacion!L$33/(Operacion!L$9-Operacion!L$40))</f>
        <v>202343.25908558</v>
      </c>
    </row>
    <row r="25" customFormat="false" ht="15" hidden="false" customHeight="false" outlineLevel="0" collapsed="false">
      <c r="A25" s="7" t="s">
        <v>279</v>
      </c>
      <c r="C25" s="19" t="n">
        <f aca="false">C24*Operacion!C$9</f>
        <v>1719917.70222743</v>
      </c>
      <c r="D25" s="19" t="n">
        <f aca="false">D24*Operacion!D$9</f>
        <v>1719917.70222743</v>
      </c>
      <c r="E25" s="19" t="n">
        <f aca="false">E24*Operacion!E$9</f>
        <v>1719917.70222743</v>
      </c>
      <c r="F25" s="19" t="n">
        <f aca="false">F24*Operacion!F$9</f>
        <v>1719917.70222743</v>
      </c>
      <c r="G25" s="19" t="n">
        <f aca="false">G24*Operacion!G$9</f>
        <v>1719917.70222743</v>
      </c>
      <c r="H25" s="19" t="n">
        <f aca="false">H24*Operacion!H$9</f>
        <v>1719917.70222743</v>
      </c>
      <c r="I25" s="19" t="n">
        <f aca="false">I24*Operacion!I$9</f>
        <v>1719917.70222743</v>
      </c>
      <c r="J25" s="19" t="n">
        <f aca="false">J24*Operacion!J$9</f>
        <v>1719917.70222743</v>
      </c>
      <c r="K25" s="19" t="n">
        <f aca="false">K24*Operacion!K$9</f>
        <v>1719917.70222743</v>
      </c>
      <c r="L25" s="19" t="n">
        <f aca="false">L24*Operacion!L$9</f>
        <v>1719917.70222743</v>
      </c>
    </row>
    <row r="26" customFormat="false" ht="15" hidden="false" customHeight="false" outlineLevel="0" collapsed="false">
      <c r="A26" s="3" t="s">
        <v>280</v>
      </c>
      <c r="C26" s="45" t="n">
        <f aca="false">IF(Operacion!C$7=0,0,C24/Operacion!C$7)</f>
        <v>0.468387173809214</v>
      </c>
      <c r="D26" s="45" t="n">
        <f aca="false">IF(Operacion!D$7=0,0,D24/Operacion!D$7)</f>
        <v>0.413282800419894</v>
      </c>
      <c r="E26" s="45" t="n">
        <f aca="false">IF(Operacion!E$7=0,0,E24/Operacion!E$7)</f>
        <v>0.374709739047371</v>
      </c>
      <c r="F26" s="45" t="n">
        <f aca="false">IF(Operacion!F$7=0,0,F24/Operacion!F$7)</f>
        <v>0.35129038035691</v>
      </c>
      <c r="G26" s="45" t="n">
        <f aca="false">IF(Operacion!G$7=0,0,G24/Operacion!G$7)</f>
        <v>0.330626240335916</v>
      </c>
      <c r="H26" s="45" t="n">
        <f aca="false">IF(Operacion!H$7=0,0,H24/Operacion!H$7)</f>
        <v>0.319354891233555</v>
      </c>
      <c r="I26" s="45" t="n">
        <f aca="false">IF(Operacion!I$7=0,0,I24/Operacion!I$7)</f>
        <v>0.312258115872809</v>
      </c>
      <c r="J26" s="45" t="n">
        <f aca="false">IF(Operacion!J$7=0,0,J24/Operacion!J$7)</f>
        <v>0.312258115872809</v>
      </c>
      <c r="K26" s="45" t="n">
        <f aca="false">IF(Operacion!K$7=0,0,K24/Operacion!K$7)</f>
        <v>0.312258115872809</v>
      </c>
      <c r="L26" s="45" t="n">
        <f aca="false">IF(Operacion!L$7=0,0,L24/Operacion!L$7)</f>
        <v>0.312258115872809</v>
      </c>
    </row>
    <row r="28" customFormat="false" ht="15" hidden="false" customHeight="false" outlineLevel="0" collapsed="false">
      <c r="A28" s="2" t="s">
        <v>281</v>
      </c>
    </row>
    <row r="30" customFormat="false" ht="15" hidden="false" customHeight="false" outlineLevel="0" collapsed="false">
      <c r="A30" s="10" t="s">
        <v>282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customFormat="false" ht="15" hidden="false" customHeight="false" outlineLevel="0" collapsed="false">
      <c r="A31" s="2" t="s">
        <v>283</v>
      </c>
    </row>
    <row r="32" customFormat="false" ht="15" hidden="false" customHeight="false" outlineLevel="0" collapsed="false">
      <c r="A32" s="10" t="s">
        <v>108</v>
      </c>
      <c r="B32" s="10" t="s">
        <v>109</v>
      </c>
      <c r="C32" s="22" t="s">
        <v>110</v>
      </c>
      <c r="D32" s="22" t="s">
        <v>111</v>
      </c>
      <c r="E32" s="22" t="s">
        <v>112</v>
      </c>
      <c r="F32" s="22" t="s">
        <v>113</v>
      </c>
      <c r="G32" s="22" t="s">
        <v>114</v>
      </c>
      <c r="H32" s="22" t="s">
        <v>115</v>
      </c>
      <c r="I32" s="22" t="s">
        <v>116</v>
      </c>
      <c r="J32" s="22" t="s">
        <v>117</v>
      </c>
      <c r="K32" s="22" t="s">
        <v>118</v>
      </c>
      <c r="L32" s="22" t="s">
        <v>119</v>
      </c>
    </row>
    <row r="33" customFormat="false" ht="15" hidden="false" customHeight="false" outlineLevel="0" collapsed="false">
      <c r="A33" s="7" t="s">
        <v>284</v>
      </c>
      <c r="C33" s="19" t="n">
        <f aca="false">Operacion!C$12*(1-Supuestos!$B$46)</f>
        <v>2588760</v>
      </c>
      <c r="D33" s="19" t="n">
        <f aca="false">Operacion!D$12*(1-Supuestos!$B$46)</f>
        <v>2933928</v>
      </c>
      <c r="E33" s="19" t="n">
        <f aca="false">Operacion!E$12*(1-Supuestos!$B$46)</f>
        <v>3235950</v>
      </c>
      <c r="F33" s="19" t="n">
        <f aca="false">Operacion!F$12*(1-Supuestos!$B$46)</f>
        <v>3451680</v>
      </c>
      <c r="G33" s="19" t="n">
        <f aca="false">Operacion!G$12*(1-Supuestos!$B$46)</f>
        <v>3667410</v>
      </c>
      <c r="H33" s="19" t="n">
        <f aca="false">Operacion!H$12*(1-Supuestos!$B$46)</f>
        <v>3796848</v>
      </c>
      <c r="I33" s="19" t="n">
        <f aca="false">Operacion!I$12*(1-Supuestos!$B$46)</f>
        <v>3883140</v>
      </c>
      <c r="J33" s="19" t="n">
        <f aca="false">Operacion!J$12*(1-Supuestos!$B$46)</f>
        <v>3883140</v>
      </c>
      <c r="K33" s="19" t="n">
        <f aca="false">Operacion!K$12*(1-Supuestos!$B$46)</f>
        <v>3883140</v>
      </c>
      <c r="L33" s="19" t="n">
        <f aca="false">Operacion!L$12*(1-Supuestos!$B$46)</f>
        <v>3883140</v>
      </c>
    </row>
    <row r="34" customFormat="false" ht="15" hidden="false" customHeight="false" outlineLevel="0" collapsed="false">
      <c r="A34" s="7" t="s">
        <v>285</v>
      </c>
      <c r="C34" s="19" t="n">
        <f aca="false">Operacion!C$15*(1-Supuestos!$B$46)</f>
        <v>996741.818181818</v>
      </c>
      <c r="D34" s="19" t="n">
        <f aca="false">Operacion!D$15*(1-Supuestos!$B$46)</f>
        <v>1129640.72727273</v>
      </c>
      <c r="E34" s="19" t="n">
        <f aca="false">Operacion!E$15*(1-Supuestos!$B$46)</f>
        <v>1245927.27272727</v>
      </c>
      <c r="F34" s="19" t="n">
        <f aca="false">Operacion!F$15*(1-Supuestos!$B$46)</f>
        <v>1328989.09090909</v>
      </c>
      <c r="G34" s="19" t="n">
        <f aca="false">Operacion!G$15*(1-Supuestos!$B$46)</f>
        <v>1412050.90909091</v>
      </c>
      <c r="H34" s="19" t="n">
        <f aca="false">Operacion!H$15*(1-Supuestos!$B$46)</f>
        <v>1461888</v>
      </c>
      <c r="I34" s="19" t="n">
        <f aca="false">Operacion!I$15*(1-Supuestos!$B$46)</f>
        <v>1495112.72727273</v>
      </c>
      <c r="J34" s="19" t="n">
        <f aca="false">Operacion!J$15*(1-Supuestos!$B$46)</f>
        <v>1495112.72727273</v>
      </c>
      <c r="K34" s="19" t="n">
        <f aca="false">Operacion!K$15*(1-Supuestos!$B$46)</f>
        <v>1495112.72727273</v>
      </c>
      <c r="L34" s="19" t="n">
        <f aca="false">Operacion!L$15*(1-Supuestos!$B$46)</f>
        <v>1495112.72727273</v>
      </c>
    </row>
    <row r="35" customFormat="false" ht="15" hidden="false" customHeight="false" outlineLevel="0" collapsed="false">
      <c r="A35" s="7" t="s">
        <v>286</v>
      </c>
      <c r="C35" s="19" t="n">
        <f aca="false">(Operacion!C$12-Operacion!C$20)*(1-Supuestos!$B$46)</f>
        <v>1180862.18181818</v>
      </c>
      <c r="D35" s="19" t="n">
        <f aca="false">(Operacion!D$12-Operacion!D$20)*(1-Supuestos!$B$46)</f>
        <v>1338310.47272727</v>
      </c>
      <c r="E35" s="19" t="n">
        <f aca="false">(Operacion!E$12-Operacion!E$20)*(1-Supuestos!$B$46)</f>
        <v>1476077.72727273</v>
      </c>
      <c r="F35" s="19" t="n">
        <f aca="false">(Operacion!F$12-Operacion!F$20)*(1-Supuestos!$B$46)</f>
        <v>1574482.90909091</v>
      </c>
      <c r="G35" s="19" t="n">
        <f aca="false">(Operacion!G$12-Operacion!G$20)*(1-Supuestos!$B$46)</f>
        <v>1672888.09090909</v>
      </c>
      <c r="H35" s="19" t="n">
        <f aca="false">(Operacion!H$12-Operacion!H$20)*(1-Supuestos!$B$46)</f>
        <v>1731931.2</v>
      </c>
      <c r="I35" s="19" t="n">
        <f aca="false">(Operacion!I$12-Operacion!I$20)*(1-Supuestos!$B$46)</f>
        <v>1771293.27272727</v>
      </c>
      <c r="J35" s="19" t="n">
        <f aca="false">(Operacion!J$12-Operacion!J$20)*(1-Supuestos!$B$46)</f>
        <v>1771293.27272727</v>
      </c>
      <c r="K35" s="19" t="n">
        <f aca="false">(Operacion!K$12-Operacion!K$20)*(1-Supuestos!$B$46)</f>
        <v>1771293.27272727</v>
      </c>
      <c r="L35" s="19" t="n">
        <f aca="false">(Operacion!L$12-Operacion!L$20)*(1-Supuestos!$B$46)</f>
        <v>1771293.27272727</v>
      </c>
    </row>
    <row r="36" customFormat="false" ht="15" hidden="false" customHeight="false" outlineLevel="0" collapsed="false">
      <c r="A36" s="7" t="s">
        <v>287</v>
      </c>
      <c r="C36" s="19" t="n">
        <f aca="false">Operacion!C$12+FlujoCaja!C$7+FlujoCaja!C$8</f>
        <v>3672000</v>
      </c>
      <c r="D36" s="19" t="n">
        <f aca="false">Operacion!D$12+FlujoCaja!D$7+FlujoCaja!D$8</f>
        <v>4161600</v>
      </c>
      <c r="E36" s="19" t="n">
        <f aca="false">Operacion!E$12+FlujoCaja!E$7+FlujoCaja!E$8</f>
        <v>4590000</v>
      </c>
      <c r="F36" s="19" t="n">
        <f aca="false">Operacion!F$12+FlujoCaja!F$7+FlujoCaja!F$8</f>
        <v>4896000</v>
      </c>
      <c r="G36" s="19" t="n">
        <f aca="false">Operacion!G$12+FlujoCaja!G$7+FlujoCaja!G$8</f>
        <v>5202000</v>
      </c>
      <c r="H36" s="19" t="n">
        <f aca="false">Operacion!H$12+FlujoCaja!H$7+FlujoCaja!H$8</f>
        <v>5385600</v>
      </c>
      <c r="I36" s="19" t="n">
        <f aca="false">Operacion!I$12+FlujoCaja!I$7+FlujoCaja!I$8</f>
        <v>5508000</v>
      </c>
      <c r="J36" s="19" t="n">
        <f aca="false">Operacion!J$12+FlujoCaja!J$7+FlujoCaja!J$8</f>
        <v>5508000</v>
      </c>
      <c r="K36" s="19" t="n">
        <f aca="false">Operacion!K$12+FlujoCaja!K$7+FlujoCaja!K$8</f>
        <v>5508000</v>
      </c>
      <c r="L36" s="19" t="n">
        <f aca="false">Operacion!L$12+FlujoCaja!L$7+FlujoCaja!L$8</f>
        <v>6543389.54545455</v>
      </c>
    </row>
    <row r="37" customFormat="false" ht="15" hidden="false" customHeight="false" outlineLevel="0" collapsed="false">
      <c r="A37" s="7" t="s">
        <v>288</v>
      </c>
      <c r="C37" s="19" t="n">
        <f aca="false">Operacion!C$39-FlujoCaja!C$12</f>
        <v>3011080.51818182</v>
      </c>
      <c r="D37" s="19" t="n">
        <f aca="false">Operacion!D$39-FlujoCaja!D$12</f>
        <v>3343232.22727273</v>
      </c>
      <c r="E37" s="19" t="n">
        <f aca="false">Operacion!E$39-FlujoCaja!E$12</f>
        <v>3633864.97272727</v>
      </c>
      <c r="F37" s="19" t="n">
        <f aca="false">Operacion!F$39-FlujoCaja!F$12</f>
        <v>3841459.79090909</v>
      </c>
      <c r="G37" s="19" t="n">
        <f aca="false">Operacion!G$39-FlujoCaja!G$12</f>
        <v>4050382.10909091</v>
      </c>
      <c r="H37" s="19" t="n">
        <f aca="false">Operacion!H$39-FlujoCaja!H$12</f>
        <v>4184792</v>
      </c>
      <c r="I37" s="19" t="n">
        <f aca="false">Operacion!I$39-FlujoCaja!I$12</f>
        <v>4267829.92727273</v>
      </c>
      <c r="J37" s="19" t="n">
        <f aca="false">Operacion!J$39-FlujoCaja!J$12</f>
        <v>4267829.92727273</v>
      </c>
      <c r="K37" s="19" t="n">
        <f aca="false">Operacion!K$39-FlujoCaja!K$12</f>
        <v>4267829.92727273</v>
      </c>
      <c r="L37" s="19" t="n">
        <f aca="false">Operacion!L$39-FlujoCaja!L$12</f>
        <v>4267829.92727273</v>
      </c>
    </row>
    <row r="38" customFormat="false" ht="15" hidden="false" customHeight="false" outlineLevel="0" collapsed="false">
      <c r="A38" s="7" t="s">
        <v>289</v>
      </c>
      <c r="B38" s="28" t="n">
        <f aca="false">FlujoCaja!$B$16</f>
        <v>-1965389.54545455</v>
      </c>
      <c r="C38" s="19" t="n">
        <f aca="false">B38+FlujoCaja!C$16</f>
        <v>-1304470.06363636</v>
      </c>
      <c r="D38" s="19" t="n">
        <f aca="false">C38+FlujoCaja!D$16</f>
        <v>-486102.290909091</v>
      </c>
      <c r="E38" s="19" t="n">
        <f aca="false">D38+FlujoCaja!E$16</f>
        <v>470032.736363637</v>
      </c>
      <c r="F38" s="19" t="n">
        <f aca="false">E38+FlujoCaja!F$16</f>
        <v>1524572.94545455</v>
      </c>
      <c r="G38" s="19" t="n">
        <f aca="false">F38+FlujoCaja!G$16</f>
        <v>2676190.83636364</v>
      </c>
      <c r="H38" s="19" t="n">
        <f aca="false">G38+FlujoCaja!H$16</f>
        <v>3876998.83636364</v>
      </c>
      <c r="I38" s="19" t="n">
        <f aca="false">H38+FlujoCaja!I$16</f>
        <v>5117168.90909091</v>
      </c>
      <c r="J38" s="19" t="n">
        <f aca="false">I38+FlujoCaja!J$16</f>
        <v>6357338.98181818</v>
      </c>
      <c r="K38" s="19" t="n">
        <f aca="false">J38+FlujoCaja!K$16</f>
        <v>7597509.05454546</v>
      </c>
      <c r="L38" s="19" t="n">
        <f aca="false">K38+FlujoCaja!L$16</f>
        <v>9873068.67272728</v>
      </c>
    </row>
    <row r="39" customFormat="false" ht="15" hidden="false" customHeight="false" outlineLevel="0" collapsed="false">
      <c r="A39" s="7" t="s">
        <v>290</v>
      </c>
      <c r="B39" s="28" t="n">
        <f aca="false">NPV($B$10,C33:L33)</f>
        <v>19193249.5872955</v>
      </c>
    </row>
    <row r="40" customFormat="false" ht="15" hidden="false" customHeight="false" outlineLevel="0" collapsed="false">
      <c r="A40" s="7" t="s">
        <v>291</v>
      </c>
      <c r="B40" s="28" t="n">
        <f aca="false">NPV($B$10,C34:L34)</f>
        <v>7389914.27960041</v>
      </c>
    </row>
    <row r="41" customFormat="false" ht="15" hidden="false" customHeight="false" outlineLevel="0" collapsed="false">
      <c r="A41" s="7" t="s">
        <v>292</v>
      </c>
      <c r="B41" s="28" t="n">
        <f aca="false">NPV($B$10,C35:L35)</f>
        <v>8754995.66735993</v>
      </c>
    </row>
    <row r="42" customFormat="false" ht="15" hidden="false" customHeight="false" outlineLevel="0" collapsed="false">
      <c r="A42" s="7" t="s">
        <v>293</v>
      </c>
      <c r="B42" s="28" t="n">
        <f aca="false">NPV($B$10,C36:L36)</f>
        <v>27560165.8085105</v>
      </c>
    </row>
    <row r="43" customFormat="false" ht="15" hidden="false" customHeight="false" outlineLevel="0" collapsed="false">
      <c r="A43" s="7" t="s">
        <v>294</v>
      </c>
      <c r="B43" s="28" t="n">
        <f aca="false">NPV($B$10,C37:L37)+Inversiones!$D$33</f>
        <v>23405806.6490142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20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9" t="s">
        <v>295</v>
      </c>
    </row>
    <row r="2" customFormat="false" ht="15" hidden="false" customHeight="false" outlineLevel="0" collapsed="false">
      <c r="A2" s="2" t="s">
        <v>296</v>
      </c>
    </row>
    <row r="4" customFormat="false" ht="15" hidden="false" customHeight="false" outlineLevel="0" collapsed="false">
      <c r="A4" s="3" t="s">
        <v>297</v>
      </c>
      <c r="B4" s="52" t="n">
        <f aca="false">Evaluacion!$B$16</f>
        <v>4154359.15949634</v>
      </c>
    </row>
    <row r="6" customFormat="false" ht="15" hidden="false" customHeight="false" outlineLevel="0" collapsed="false">
      <c r="A6" s="10" t="s">
        <v>298</v>
      </c>
      <c r="B6" s="10"/>
      <c r="C6" s="10"/>
      <c r="D6" s="10"/>
      <c r="E6" s="10"/>
      <c r="F6" s="10"/>
      <c r="G6" s="10"/>
    </row>
    <row r="7" customFormat="false" ht="15" hidden="false" customHeight="false" outlineLevel="0" collapsed="false">
      <c r="A7" s="10" t="s">
        <v>299</v>
      </c>
      <c r="B7" s="10" t="s">
        <v>300</v>
      </c>
      <c r="C7" s="10" t="s">
        <v>301</v>
      </c>
      <c r="D7" s="10" t="s">
        <v>302</v>
      </c>
    </row>
    <row r="8" customFormat="false" ht="15" hidden="false" customHeight="false" outlineLevel="0" collapsed="false">
      <c r="A8" s="15" t="n">
        <v>-0.2</v>
      </c>
      <c r="B8" s="19" t="n">
        <f aca="false">$B$4+$A8*Evaluacion!$B$39</f>
        <v>315709.242037232</v>
      </c>
      <c r="C8" s="19" t="n">
        <f aca="false">$B$4-$A8*Evaluacion!$B$40</f>
        <v>5632342.01541642</v>
      </c>
      <c r="D8" s="19" t="n">
        <f aca="false">$B$4+$A8*Evaluacion!$B$41</f>
        <v>2403360.02602435</v>
      </c>
    </row>
    <row r="9" customFormat="false" ht="15" hidden="false" customHeight="false" outlineLevel="0" collapsed="false">
      <c r="A9" s="15" t="n">
        <v>-0.15</v>
      </c>
      <c r="B9" s="19" t="n">
        <f aca="false">$B$4+$A9*Evaluacion!$B$39</f>
        <v>1275371.72140201</v>
      </c>
      <c r="C9" s="19" t="n">
        <f aca="false">$B$4-$A9*Evaluacion!$B$40</f>
        <v>5262846.3014364</v>
      </c>
      <c r="D9" s="19" t="n">
        <f aca="false">$B$4+$A9*Evaluacion!$B$41</f>
        <v>2841109.80939235</v>
      </c>
    </row>
    <row r="10" customFormat="false" ht="15" hidden="false" customHeight="false" outlineLevel="0" collapsed="false">
      <c r="A10" s="15" t="n">
        <v>-0.1</v>
      </c>
      <c r="B10" s="19" t="n">
        <f aca="false">$B$4+$A10*Evaluacion!$B$39</f>
        <v>2235034.20076678</v>
      </c>
      <c r="C10" s="19" t="n">
        <f aca="false">$B$4-$A10*Evaluacion!$B$40</f>
        <v>4893350.58745638</v>
      </c>
      <c r="D10" s="19" t="n">
        <f aca="false">$B$4+$A10*Evaluacion!$B$41</f>
        <v>3278859.59276034</v>
      </c>
    </row>
    <row r="11" customFormat="false" ht="15" hidden="false" customHeight="false" outlineLevel="0" collapsed="false">
      <c r="A11" s="15" t="n">
        <v>-0.05</v>
      </c>
      <c r="B11" s="19" t="n">
        <f aca="false">$B$4+$A11*Evaluacion!$B$39</f>
        <v>3194696.68013156</v>
      </c>
      <c r="C11" s="19" t="n">
        <f aca="false">$B$4-$A11*Evaluacion!$B$40</f>
        <v>4523854.87347636</v>
      </c>
      <c r="D11" s="19" t="n">
        <f aca="false">$B$4+$A11*Evaluacion!$B$41</f>
        <v>3716609.37612834</v>
      </c>
    </row>
    <row r="12" customFormat="false" ht="15" hidden="false" customHeight="false" outlineLevel="0" collapsed="false">
      <c r="A12" s="53" t="n">
        <v>0</v>
      </c>
      <c r="B12" s="54" t="n">
        <f aca="false">$B$4+$A12*Evaluacion!$B$39</f>
        <v>4154359.15949634</v>
      </c>
      <c r="C12" s="54" t="n">
        <f aca="false">$B$4-$A12*Evaluacion!$B$40</f>
        <v>4154359.15949634</v>
      </c>
      <c r="D12" s="54" t="n">
        <f aca="false">$B$4+$A12*Evaluacion!$B$41</f>
        <v>4154359.15949634</v>
      </c>
    </row>
    <row r="13" customFormat="false" ht="15" hidden="false" customHeight="false" outlineLevel="0" collapsed="false">
      <c r="A13" s="15" t="n">
        <v>0.05</v>
      </c>
      <c r="B13" s="19" t="n">
        <f aca="false">$B$4+$A13*Evaluacion!$B$39</f>
        <v>5114021.63886111</v>
      </c>
      <c r="C13" s="19" t="n">
        <f aca="false">$B$4-$A13*Evaluacion!$B$40</f>
        <v>3784863.44551631</v>
      </c>
      <c r="D13" s="19" t="n">
        <f aca="false">$B$4+$A13*Evaluacion!$B$41</f>
        <v>4592108.94286433</v>
      </c>
    </row>
    <row r="14" customFormat="false" ht="15" hidden="false" customHeight="false" outlineLevel="0" collapsed="false">
      <c r="A14" s="15" t="n">
        <v>0.1</v>
      </c>
      <c r="B14" s="19" t="n">
        <f aca="false">$B$4+$A14*Evaluacion!$B$39</f>
        <v>6073684.11822589</v>
      </c>
      <c r="C14" s="19" t="n">
        <f aca="false">$B$4-$A14*Evaluacion!$B$40</f>
        <v>3415367.73153629</v>
      </c>
      <c r="D14" s="19" t="n">
        <f aca="false">$B$4+$A14*Evaluacion!$B$41</f>
        <v>5029858.72623233</v>
      </c>
    </row>
    <row r="15" customFormat="false" ht="15" hidden="false" customHeight="false" outlineLevel="0" collapsed="false">
      <c r="A15" s="15" t="n">
        <v>0.15</v>
      </c>
      <c r="B15" s="19" t="n">
        <f aca="false">$B$4+$A15*Evaluacion!$B$39</f>
        <v>7033346.59759066</v>
      </c>
      <c r="C15" s="19" t="n">
        <f aca="false">$B$4-$A15*Evaluacion!$B$40</f>
        <v>3045872.01755627</v>
      </c>
      <c r="D15" s="19" t="n">
        <f aca="false">$B$4+$A15*Evaluacion!$B$41</f>
        <v>5467608.50960033</v>
      </c>
    </row>
    <row r="16" customFormat="false" ht="15" hidden="false" customHeight="false" outlineLevel="0" collapsed="false">
      <c r="A16" s="15" t="n">
        <v>0.2</v>
      </c>
      <c r="B16" s="19" t="n">
        <f aca="false">$B$4+$A16*Evaluacion!$B$39</f>
        <v>7993009.07695544</v>
      </c>
      <c r="C16" s="19" t="n">
        <f aca="false">$B$4-$A16*Evaluacion!$B$40</f>
        <v>2676376.30357625</v>
      </c>
      <c r="D16" s="19" t="n">
        <f aca="false">$B$4+$A16*Evaluacion!$B$41</f>
        <v>5905358.29296832</v>
      </c>
    </row>
    <row r="18" customFormat="false" ht="15" hidden="false" customHeight="false" outlineLevel="0" collapsed="false">
      <c r="A18" s="3" t="s">
        <v>303</v>
      </c>
    </row>
    <row r="19" customFormat="false" ht="15" hidden="false" customHeight="false" outlineLevel="0" collapsed="false">
      <c r="A19" s="7" t="s">
        <v>304</v>
      </c>
      <c r="B19" s="49" t="n">
        <f aca="false">-$B$4/Evaluacion!$B$39</f>
        <v>-0.21644897288504</v>
      </c>
    </row>
    <row r="20" customFormat="false" ht="15" hidden="false" customHeight="false" outlineLevel="0" collapsed="false">
      <c r="A20" s="7" t="s">
        <v>305</v>
      </c>
      <c r="B20" s="49" t="n">
        <f aca="false">$B$4/Evaluacion!$B$40</f>
        <v>0.562166082354202</v>
      </c>
    </row>
    <row r="21" customFormat="false" ht="15" hidden="false" customHeight="false" outlineLevel="0" collapsed="false">
      <c r="A21" s="7" t="s">
        <v>306</v>
      </c>
      <c r="B21" s="49" t="n">
        <f aca="false">-$B$4/Evaluacion!$B$41</f>
        <v>-0.474512988622538</v>
      </c>
    </row>
    <row r="22" customFormat="false" ht="15" hidden="false" customHeight="false" outlineLevel="0" collapsed="false">
      <c r="A22" s="2" t="s">
        <v>307</v>
      </c>
    </row>
    <row r="24" customFormat="false" ht="15" hidden="false" customHeight="false" outlineLevel="0" collapsed="false">
      <c r="A24" s="10" t="s">
        <v>308</v>
      </c>
      <c r="B24" s="10"/>
      <c r="C24" s="10"/>
      <c r="D24" s="10"/>
      <c r="E24" s="10"/>
      <c r="F24" s="10"/>
      <c r="G24" s="10"/>
    </row>
    <row r="25" customFormat="false" ht="15" hidden="false" customHeight="false" outlineLevel="0" collapsed="false">
      <c r="A25" s="10" t="s">
        <v>309</v>
      </c>
      <c r="B25" s="10" t="s">
        <v>310</v>
      </c>
      <c r="C25" s="10" t="s">
        <v>311</v>
      </c>
      <c r="D25" s="10" t="s">
        <v>312</v>
      </c>
      <c r="E25" s="10" t="s">
        <v>313</v>
      </c>
      <c r="F25" s="10" t="s">
        <v>314</v>
      </c>
    </row>
    <row r="26" customFormat="false" ht="15" hidden="false" customHeight="false" outlineLevel="0" collapsed="false">
      <c r="A26" s="55" t="s">
        <v>315</v>
      </c>
      <c r="B26" s="15" t="n">
        <v>-0.1</v>
      </c>
      <c r="C26" s="15" t="n">
        <v>0.15</v>
      </c>
      <c r="D26" s="15" t="n">
        <v>-0.15</v>
      </c>
      <c r="E26" s="41" t="n">
        <f aca="false">$B$4+B26*Evaluacion!$B$39-C26*Evaluacion!$B$40+D26*Evaluacion!$B$41</f>
        <v>-186702.291277268</v>
      </c>
      <c r="F26" s="55" t="str">
        <f aca="false">IF(E26&gt;0,"Viable","No viable")</f>
        <v>No viable</v>
      </c>
    </row>
    <row r="27" customFormat="false" ht="15" hidden="false" customHeight="false" outlineLevel="0" collapsed="false">
      <c r="A27" s="55" t="s">
        <v>316</v>
      </c>
      <c r="B27" s="15" t="n">
        <v>0</v>
      </c>
      <c r="C27" s="15" t="n">
        <v>0</v>
      </c>
      <c r="D27" s="15" t="n">
        <v>0</v>
      </c>
      <c r="E27" s="41" t="n">
        <f aca="false">$B$4+B27*Evaluacion!$B$39-C27*Evaluacion!$B$40+D27*Evaluacion!$B$41</f>
        <v>4154359.15949634</v>
      </c>
      <c r="F27" s="55" t="str">
        <f aca="false">IF(E27&gt;0,"Viable","No viable")</f>
        <v>Viable</v>
      </c>
    </row>
    <row r="28" customFormat="false" ht="15" hidden="false" customHeight="false" outlineLevel="0" collapsed="false">
      <c r="A28" s="55" t="s">
        <v>317</v>
      </c>
      <c r="B28" s="15" t="n">
        <v>0.08</v>
      </c>
      <c r="C28" s="15" t="n">
        <v>-0.05</v>
      </c>
      <c r="D28" s="15" t="n">
        <v>0.1</v>
      </c>
      <c r="E28" s="41" t="n">
        <f aca="false">$B$4+B28*Evaluacion!$B$39-C28*Evaluacion!$B$40+D28*Evaluacion!$B$41</f>
        <v>6934814.40719599</v>
      </c>
      <c r="F28" s="55" t="str">
        <f aca="false">IF(E28&gt;0,"Viable","No viable")</f>
        <v>Viable</v>
      </c>
    </row>
    <row r="30" customFormat="false" ht="15" hidden="false" customHeight="false" outlineLevel="0" collapsed="false">
      <c r="A30" s="3" t="s">
        <v>318</v>
      </c>
    </row>
    <row r="31" customFormat="false" ht="15" hidden="false" customHeight="false" outlineLevel="0" collapsed="false">
      <c r="A31" s="2" t="s">
        <v>319</v>
      </c>
    </row>
    <row r="32" customFormat="false" ht="15" hidden="false" customHeight="false" outlineLevel="0" collapsed="false">
      <c r="A32" s="2" t="s">
        <v>320</v>
      </c>
    </row>
    <row r="33" customFormat="false" ht="15" hidden="false" customHeight="false" outlineLevel="0" collapsed="false">
      <c r="A33" s="2" t="s">
        <v>321</v>
      </c>
    </row>
    <row r="34" customFormat="false" ht="15" hidden="false" customHeight="false" outlineLevel="0" collapsed="false">
      <c r="A34" s="2" t="s">
        <v>322</v>
      </c>
    </row>
    <row r="35" customFormat="false" ht="15" hidden="false" customHeight="false" outlineLevel="0" collapsed="false">
      <c r="A35" s="2" t="s">
        <v>323</v>
      </c>
    </row>
    <row r="36" customFormat="false" ht="15" hidden="false" customHeight="false" outlineLevel="0" collapsed="false">
      <c r="A36" s="2" t="s">
        <v>324</v>
      </c>
    </row>
    <row r="37" customFormat="false" ht="15" hidden="false" customHeight="false" outlineLevel="0" collapsed="false">
      <c r="A37" s="2" t="s">
        <v>325</v>
      </c>
    </row>
    <row r="38" customFormat="false" ht="15" hidden="false" customHeight="false" outlineLevel="0" collapsed="false">
      <c r="A38" s="2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2026-08-28T02:11:23Z</dcterms:created>
  <dc:creator>openpyxl</dc:creator>
  <dc:description/>
  <dc:language>en-US</dc:language>
  <cp:lastModifiedBy/>
  <dcterms:modified xsi:type="dcterms:W3CDTF">2026-08-28T02:11:23Z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